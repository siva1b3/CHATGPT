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codeName="{60716B99-48EF-4627-542C-1B4CF24DBC83}"/>
  <workbookPr codeName="ThisWorkbook"/>
  <mc:AlternateContent xmlns:mc="http://schemas.openxmlformats.org/markup-compatibility/2006">
    <mc:Choice Requires="x15">
      <x15ac:absPath xmlns:x15ac="http://schemas.microsoft.com/office/spreadsheetml/2010/11/ac" url="C:\Users\siva\Pictures\A webdev\CHATGPT\"/>
    </mc:Choice>
  </mc:AlternateContent>
  <xr:revisionPtr revIDLastSave="0" documentId="13_ncr:1_{9211A3DA-AD83-4C66-A082-53351618CB81}" xr6:coauthVersionLast="47" xr6:coauthVersionMax="47" xr10:uidLastSave="{00000000-0000-0000-0000-000000000000}"/>
  <bookViews>
    <workbookView xWindow="-108" yWindow="-108" windowWidth="23256" windowHeight="12456" xr2:uid="{00000000-000D-0000-FFFF-FFFF00000000}"/>
  </bookViews>
  <sheets>
    <sheet name="GanttChart" sheetId="9" r:id="rId1"/>
  </sheets>
  <functionGroups builtInGroupCount="19"/>
  <definedNames>
    <definedName name="_xlnm._FilterDatabase" localSheetId="0" hidden="1">GanttChart!$A$4:$JG$62</definedName>
    <definedName name="prevWBS" localSheetId="0">GanttChart!$A1048576</definedName>
    <definedName name="_xlnm.Print_Area" localSheetId="0">GanttChart!$A$1:$BN$98</definedName>
    <definedName name="_xlnm.Print_Titles" localSheetId="0">GanttChart!$1:$4</definedName>
    <definedName name="valuevx">42.314159</definedName>
    <definedName name="vertex42_copyright" hidden="1">"© 2006-2018 Vertex42 LLC"</definedName>
    <definedName name="vertex42_id" hidden="1">"gantt-chart_L.xlsx"</definedName>
    <definedName name="vertex42_title" hidden="1">"Gantt Chart Template"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48" i="9" l="1"/>
  <c r="J48" i="9" s="1"/>
  <c r="G47" i="9"/>
  <c r="J47" i="9" s="1"/>
  <c r="G46" i="9"/>
  <c r="J46" i="9" s="1"/>
  <c r="G45" i="9"/>
  <c r="J45" i="9" s="1"/>
  <c r="G25" i="9"/>
  <c r="J25" i="9" s="1"/>
  <c r="G23" i="9"/>
  <c r="J23" i="9" s="1"/>
  <c r="G24" i="9"/>
  <c r="J24" i="9" s="1"/>
  <c r="G22" i="9"/>
  <c r="J22" i="9" s="1"/>
  <c r="G44" i="9"/>
  <c r="J44" i="9" s="1"/>
  <c r="G43" i="9"/>
  <c r="J43" i="9" s="1"/>
  <c r="G21" i="9"/>
  <c r="J21" i="9" s="1"/>
  <c r="G15" i="9"/>
  <c r="J15" i="9" s="1"/>
  <c r="G16" i="9"/>
  <c r="J16" i="9" s="1"/>
  <c r="G17" i="9"/>
  <c r="J17" i="9" s="1"/>
  <c r="G14" i="9"/>
  <c r="J14" i="9" s="1"/>
  <c r="G13" i="9"/>
  <c r="J13" i="9" s="1"/>
  <c r="G12" i="9"/>
  <c r="J12" i="9" s="1"/>
  <c r="G11" i="9"/>
  <c r="J11" i="9" s="1"/>
  <c r="B50" i="9" a="1"/>
  <c r="B48" i="9" a="1"/>
  <c r="B46" i="9" a="1"/>
  <c r="B45" i="9" a="1"/>
  <c r="B49" i="9" a="1"/>
  <c r="B47" i="9" a="1"/>
  <c r="B13" i="9" a="1"/>
  <c r="B14" i="9" a="1"/>
  <c r="B15" i="9" a="1"/>
  <c r="B23" i="9" a="1"/>
  <c r="B16" i="9" a="1"/>
  <c r="B11" i="9" a="1"/>
  <c r="B24" i="9" a="1"/>
  <c r="B44" i="9" a="1"/>
  <c r="B21" i="9" a="1"/>
  <c r="B17" i="9" a="1"/>
  <c r="B59" i="9" a="1"/>
  <c r="B25" i="9" a="1"/>
  <c r="B12" i="9" a="1"/>
  <c r="B22" i="9" a="1"/>
  <c r="B43" i="9" a="1"/>
  <c r="B61" i="9" a="1"/>
  <c r="B47" i="9" l="1"/>
  <c r="B49" i="9"/>
  <c r="B45" i="9"/>
  <c r="B46" i="9"/>
  <c r="B48" i="9"/>
  <c r="B50" i="9"/>
  <c r="B25" i="9"/>
  <c r="B23" i="9"/>
  <c r="B24" i="9"/>
  <c r="B22" i="9"/>
  <c r="B44" i="9"/>
  <c r="B43" i="9"/>
  <c r="B21" i="9"/>
  <c r="B15" i="9"/>
  <c r="B16" i="9"/>
  <c r="B17" i="9"/>
  <c r="B14" i="9"/>
  <c r="B13" i="9"/>
  <c r="B12" i="9"/>
  <c r="B11" i="9"/>
  <c r="B61" i="9"/>
  <c r="B59" i="9"/>
  <c r="G59" i="9"/>
  <c r="J59" i="9" s="1"/>
  <c r="G60" i="9"/>
  <c r="J60" i="9" s="1"/>
  <c r="G20" i="9"/>
  <c r="J20" i="9" s="1"/>
  <c r="G19" i="9"/>
  <c r="J19" i="9" s="1"/>
  <c r="G18" i="9"/>
  <c r="J18" i="9" s="1"/>
  <c r="G5" i="9"/>
  <c r="J5" i="9" s="1"/>
  <c r="G6" i="9"/>
  <c r="J6" i="9" s="1"/>
  <c r="G26" i="9"/>
  <c r="J26" i="9" s="1"/>
  <c r="G27" i="9"/>
  <c r="J27" i="9" s="1"/>
  <c r="G30" i="9"/>
  <c r="J30" i="9" s="1"/>
  <c r="G32" i="9"/>
  <c r="J32" i="9" s="1"/>
  <c r="G33" i="9"/>
  <c r="J33" i="9" s="1"/>
  <c r="G34" i="9"/>
  <c r="J34" i="9" s="1"/>
  <c r="G35" i="9"/>
  <c r="J35" i="9" s="1"/>
  <c r="G36" i="9"/>
  <c r="J36" i="9" s="1"/>
  <c r="G37" i="9"/>
  <c r="J37" i="9" s="1"/>
  <c r="G38" i="9"/>
  <c r="J38" i="9" s="1"/>
  <c r="G39" i="9"/>
  <c r="J39" i="9" s="1"/>
  <c r="G40" i="9"/>
  <c r="J40" i="9" s="1"/>
  <c r="G41" i="9"/>
  <c r="J41" i="9" s="1"/>
  <c r="G42" i="9"/>
  <c r="J42" i="9" s="1"/>
  <c r="G51" i="9"/>
  <c r="J51" i="9" s="1"/>
  <c r="G52" i="9"/>
  <c r="J52" i="9" s="1"/>
  <c r="G53" i="9"/>
  <c r="J53" i="9" s="1"/>
  <c r="G54" i="9"/>
  <c r="J54" i="9" s="1"/>
  <c r="G55" i="9"/>
  <c r="J55" i="9" s="1"/>
  <c r="G56" i="9"/>
  <c r="J56" i="9" s="1"/>
  <c r="G57" i="9"/>
  <c r="J57" i="9" s="1"/>
  <c r="G58" i="9"/>
  <c r="J58" i="9" s="1"/>
  <c r="J98" i="9"/>
  <c r="G101" i="9"/>
  <c r="J101" i="9" s="1"/>
  <c r="G102" i="9"/>
  <c r="J102" i="9" s="1"/>
  <c r="G103" i="9"/>
  <c r="J103" i="9" s="1"/>
  <c r="G104" i="9"/>
  <c r="J104" i="9" s="1"/>
  <c r="B36" i="9" a="1"/>
  <c r="B5" i="9" a="1"/>
  <c r="B60" i="9" a="1"/>
  <c r="B6" i="9" a="1"/>
  <c r="B18" i="9" a="1"/>
  <c r="B51" i="9" a="1"/>
  <c r="B32" i="9" a="1"/>
  <c r="B40" i="9" a="1"/>
  <c r="B20" i="9" a="1"/>
  <c r="B7" i="9" a="1"/>
  <c r="B41" i="9" a="1"/>
  <c r="B9" i="9" a="1"/>
  <c r="B34" i="9" a="1"/>
  <c r="B57" i="9" a="1"/>
  <c r="B42" i="9" a="1"/>
  <c r="B19" i="9" a="1"/>
  <c r="B28" i="9" a="1"/>
  <c r="B54" i="9" a="1"/>
  <c r="B52" i="9" a="1"/>
  <c r="B27" i="9" a="1"/>
  <c r="B31" i="9" a="1"/>
  <c r="B62" i="9" a="1"/>
  <c r="B35" i="9" a="1"/>
  <c r="B10" i="9" a="1"/>
  <c r="B55" i="9" a="1"/>
  <c r="B37" i="9" a="1"/>
  <c r="B8" i="9" a="1"/>
  <c r="B38" i="9" a="1"/>
  <c r="B53" i="9" a="1"/>
  <c r="B26" i="9" a="1"/>
  <c r="B30" i="9" a="1"/>
  <c r="B29" i="9" a="1"/>
  <c r="B33" i="9" a="1"/>
  <c r="B56" i="9" a="1"/>
  <c r="B58" i="9" a="1"/>
  <c r="B39" i="9" a="1"/>
  <c r="B60" i="9" l="1"/>
  <c r="B42" i="9"/>
  <c r="B55" i="9"/>
  <c r="B51" i="9"/>
  <c r="B41" i="9"/>
  <c r="B37" i="9"/>
  <c r="B33" i="9"/>
  <c r="B29" i="9"/>
  <c r="B20" i="9"/>
  <c r="B9" i="9"/>
  <c r="B38" i="9"/>
  <c r="B58" i="9"/>
  <c r="B54" i="9"/>
  <c r="B40" i="9"/>
  <c r="B36" i="9"/>
  <c r="B32" i="9"/>
  <c r="B28" i="9"/>
  <c r="B8" i="9"/>
  <c r="B52" i="9"/>
  <c r="B19" i="9"/>
  <c r="B18" i="9"/>
  <c r="B34" i="9"/>
  <c r="B62" i="9"/>
  <c r="B57" i="9"/>
  <c r="B53" i="9"/>
  <c r="B39" i="9"/>
  <c r="B35" i="9"/>
  <c r="B31" i="9"/>
  <c r="B27" i="9"/>
  <c r="B7" i="9"/>
  <c r="B56" i="9"/>
  <c r="B30" i="9"/>
  <c r="B26" i="9"/>
  <c r="B10" i="9"/>
  <c r="B6" i="9"/>
  <c r="B5" i="9"/>
  <c r="K3" i="9"/>
  <c r="K4" i="9" l="1"/>
  <c r="K1" i="9"/>
  <c r="A5" i="9"/>
  <c r="A6" i="9" s="1"/>
  <c r="A7" i="9" s="1"/>
  <c r="A8" i="9" s="1"/>
  <c r="A9" i="9" s="1"/>
  <c r="A101" i="9"/>
  <c r="A102" i="9" s="1"/>
  <c r="A103" i="9" s="1"/>
  <c r="A104" i="9" s="1"/>
  <c r="L3" i="9" l="1"/>
  <c r="M3" i="9" l="1"/>
  <c r="N3" i="9" l="1"/>
  <c r="O3" i="9" l="1"/>
  <c r="K2" i="9"/>
  <c r="P3" i="9" l="1"/>
  <c r="L4" i="9"/>
  <c r="Q3" i="9" l="1"/>
  <c r="M4" i="9"/>
  <c r="R3" i="9" l="1"/>
  <c r="N4" i="9"/>
  <c r="S3" i="9" l="1"/>
  <c r="O4" i="9"/>
  <c r="T3" i="9" l="1"/>
  <c r="P4" i="9"/>
  <c r="U3" i="9" l="1"/>
  <c r="Q4" i="9"/>
  <c r="V3" i="9" l="1"/>
  <c r="R4" i="9"/>
  <c r="R2" i="9"/>
  <c r="R1" i="9"/>
  <c r="W3" i="9" l="1"/>
  <c r="S4" i="9"/>
  <c r="X3" i="9" l="1"/>
  <c r="T4" i="9"/>
  <c r="Y3" i="9" l="1"/>
  <c r="U4" i="9"/>
  <c r="Z3" i="9" l="1"/>
  <c r="V4" i="9"/>
  <c r="AA3" i="9" l="1"/>
  <c r="X4" i="9"/>
  <c r="W4" i="9"/>
  <c r="AB3" i="9" l="1"/>
  <c r="Y2" i="9"/>
  <c r="Y1" i="9"/>
  <c r="Y4" i="9"/>
  <c r="AC3" i="9" l="1"/>
  <c r="Z4" i="9"/>
  <c r="AD3" i="9" l="1"/>
  <c r="AA4" i="9"/>
  <c r="AE3" i="9" l="1"/>
  <c r="AB4" i="9"/>
  <c r="AF3" i="9" l="1"/>
  <c r="AC4" i="9"/>
  <c r="AG3" i="9" l="1"/>
  <c r="AD4" i="9"/>
  <c r="AH3" i="9" l="1"/>
  <c r="AE4" i="9"/>
  <c r="AI3" i="9" l="1"/>
  <c r="AF1" i="9"/>
  <c r="AF4" i="9"/>
  <c r="AF2" i="9"/>
  <c r="AJ3" i="9" l="1"/>
  <c r="AG4" i="9"/>
  <c r="AK3" i="9" l="1"/>
  <c r="AH4" i="9"/>
  <c r="AL3" i="9" l="1"/>
  <c r="AI4" i="9"/>
  <c r="AM3" i="9" l="1"/>
  <c r="AJ4" i="9"/>
  <c r="AN3" i="9" l="1"/>
  <c r="AO3" i="9" s="1"/>
  <c r="AO4" i="9" s="1"/>
  <c r="AK4" i="9"/>
  <c r="AL4" i="9" l="1"/>
  <c r="AP3" i="9" l="1"/>
  <c r="AM4" i="9"/>
  <c r="AM2" i="9"/>
  <c r="AM1" i="9"/>
  <c r="AQ3" i="9" l="1"/>
  <c r="AN4" i="9"/>
  <c r="AR3" i="9" l="1"/>
  <c r="AS3" i="9" l="1"/>
  <c r="AP4" i="9"/>
  <c r="AT3" i="9" l="1"/>
  <c r="AQ4" i="9"/>
  <c r="AU3" i="9" l="1"/>
  <c r="AR4" i="9"/>
  <c r="AV3" i="9" l="1"/>
  <c r="AS4" i="9"/>
  <c r="AW3" i="9" l="1"/>
  <c r="AT4" i="9"/>
  <c r="AT2" i="9"/>
  <c r="AT1" i="9"/>
  <c r="AX3" i="9" l="1"/>
  <c r="AU4" i="9"/>
  <c r="AY3" i="9" l="1"/>
  <c r="AV4" i="9"/>
  <c r="AZ3" i="9" l="1"/>
  <c r="AW4" i="9"/>
  <c r="BA3" i="9" l="1"/>
  <c r="AX4" i="9"/>
  <c r="BB3" i="9" l="1"/>
  <c r="AY4" i="9"/>
  <c r="BC3" i="9" l="1"/>
  <c r="AZ4" i="9"/>
  <c r="BD3" i="9" l="1"/>
  <c r="BA2" i="9"/>
  <c r="BA1" i="9"/>
  <c r="BA4" i="9"/>
  <c r="BE3" i="9" l="1"/>
  <c r="BB4" i="9"/>
  <c r="BF3" i="9" l="1"/>
  <c r="BC4" i="9"/>
  <c r="BG3" i="9" l="1"/>
  <c r="BD4" i="9"/>
  <c r="BH3" i="9" l="1"/>
  <c r="BE4" i="9"/>
  <c r="BI3" i="9" l="1"/>
  <c r="BF4" i="9"/>
  <c r="BJ3" i="9" l="1"/>
  <c r="BG4" i="9"/>
  <c r="BK3" i="9" l="1"/>
  <c r="BH1" i="9"/>
  <c r="BH4" i="9"/>
  <c r="BH2" i="9"/>
  <c r="BL3" i="9" l="1"/>
  <c r="BI4" i="9"/>
  <c r="BM3" i="9" l="1"/>
  <c r="BJ4" i="9"/>
  <c r="BN3" i="9" l="1"/>
  <c r="BO3" i="9" s="1"/>
  <c r="BK4" i="9"/>
  <c r="BO4" i="9" l="1"/>
  <c r="BO1" i="9"/>
  <c r="BP3" i="9"/>
  <c r="BO2" i="9"/>
  <c r="BL4" i="9"/>
  <c r="BQ3" i="9" l="1"/>
  <c r="BP4" i="9"/>
  <c r="BM4" i="9"/>
  <c r="BR3" i="9" l="1"/>
  <c r="BQ4" i="9"/>
  <c r="BN4" i="9"/>
  <c r="BS3" i="9" l="1"/>
  <c r="BR4" i="9"/>
  <c r="BS4" i="9" l="1"/>
  <c r="BT3" i="9"/>
  <c r="BT4" i="9" l="1"/>
  <c r="BU3" i="9"/>
  <c r="BV3" i="9" s="1"/>
  <c r="BW3" i="9" l="1"/>
  <c r="BV1" i="9"/>
  <c r="BV2" i="9"/>
  <c r="BV4" i="9"/>
  <c r="A10" i="9"/>
  <c r="A11" i="9" s="1"/>
  <c r="A12" i="9" s="1"/>
  <c r="A13" i="9" s="1"/>
  <c r="A14" i="9" s="1"/>
  <c r="BU4" i="9"/>
  <c r="BW4" i="9" l="1"/>
  <c r="BX3" i="9"/>
  <c r="A15" i="9"/>
  <c r="A16" i="9" s="1"/>
  <c r="A17" i="9" s="1"/>
  <c r="BY3" i="9" l="1"/>
  <c r="BX4" i="9"/>
  <c r="A18" i="9"/>
  <c r="A19" i="9" s="1"/>
  <c r="A20" i="9" s="1"/>
  <c r="BY4" i="9" l="1"/>
  <c r="BZ3" i="9"/>
  <c r="A21" i="9"/>
  <c r="BZ4" i="9" l="1"/>
  <c r="CA3" i="9"/>
  <c r="A22" i="9"/>
  <c r="CA4" i="9" l="1"/>
  <c r="CB3" i="9"/>
  <c r="A23" i="9"/>
  <c r="CB4" i="9" l="1"/>
  <c r="CC3" i="9"/>
  <c r="A24" i="9"/>
  <c r="CD3" i="9" l="1"/>
  <c r="CC4" i="9"/>
  <c r="CC1" i="9"/>
  <c r="CC2" i="9"/>
  <c r="A25" i="9"/>
  <c r="A26" i="9" s="1"/>
  <c r="A27" i="9" s="1"/>
  <c r="A28" i="9" s="1"/>
  <c r="A29" i="9" s="1"/>
  <c r="A30" i="9" s="1"/>
  <c r="A31" i="9" s="1"/>
  <c r="A32" i="9" s="1"/>
  <c r="A33" i="9" s="1"/>
  <c r="A34" i="9" s="1"/>
  <c r="A35" i="9" s="1"/>
  <c r="A36" i="9" s="1"/>
  <c r="A37" i="9" s="1"/>
  <c r="A38" i="9" s="1"/>
  <c r="A39" i="9" s="1"/>
  <c r="A40" i="9" s="1"/>
  <c r="A41" i="9" s="1"/>
  <c r="A42" i="9" s="1"/>
  <c r="A43" i="9" s="1"/>
  <c r="A44" i="9" s="1"/>
  <c r="A45" i="9" l="1"/>
  <c r="A46" i="9" s="1"/>
  <c r="A47" i="9" s="1"/>
  <c r="A48" i="9" s="1"/>
  <c r="A49" i="9" s="1"/>
  <c r="A50" i="9" s="1"/>
  <c r="A51" i="9" s="1"/>
  <c r="A52" i="9" s="1"/>
  <c r="A53" i="9" s="1"/>
  <c r="A54" i="9" s="1"/>
  <c r="A55" i="9" s="1"/>
  <c r="A56" i="9" s="1"/>
  <c r="A57" i="9" s="1"/>
  <c r="A58" i="9" s="1"/>
  <c r="A59" i="9" s="1"/>
  <c r="A60" i="9" s="1"/>
  <c r="A61" i="9" s="1"/>
  <c r="A62" i="9" s="1"/>
  <c r="CE3" i="9"/>
  <c r="CD4" i="9"/>
  <c r="CF3" i="9" l="1"/>
  <c r="CE4" i="9"/>
  <c r="CG3" i="9" l="1"/>
  <c r="CF4" i="9"/>
  <c r="CG4" i="9" l="1"/>
  <c r="CH3" i="9"/>
  <c r="CH4" i="9" l="1"/>
  <c r="CI3" i="9"/>
  <c r="CI4" i="9" l="1"/>
  <c r="CJ3" i="9"/>
  <c r="CK3" i="9" l="1"/>
  <c r="CJ1" i="9"/>
  <c r="CJ2" i="9"/>
  <c r="CJ4" i="9"/>
  <c r="CK4" i="9" l="1"/>
  <c r="CL3" i="9"/>
  <c r="CM3" i="9" l="1"/>
  <c r="CL4" i="9"/>
  <c r="CN3" i="9" l="1"/>
  <c r="CM4" i="9"/>
  <c r="CN4" i="9" l="1"/>
  <c r="CO3" i="9"/>
  <c r="CO4" i="9" l="1"/>
  <c r="CP3" i="9"/>
  <c r="CP4" i="9" l="1"/>
  <c r="CQ3" i="9"/>
  <c r="CQ4" i="9" l="1"/>
  <c r="CQ1" i="9"/>
  <c r="CQ2" i="9"/>
  <c r="CR3" i="9"/>
  <c r="CR4" i="9" l="1"/>
  <c r="CS3" i="9"/>
  <c r="CT3" i="9" l="1"/>
  <c r="CS4" i="9"/>
  <c r="CU3" i="9" l="1"/>
  <c r="CT4" i="9"/>
  <c r="CV3" i="9" l="1"/>
  <c r="CU4" i="9"/>
  <c r="CV4" i="9" l="1"/>
  <c r="CW3" i="9"/>
  <c r="CW4" i="9" l="1"/>
  <c r="CX3" i="9"/>
  <c r="CY3" i="9" l="1"/>
  <c r="CX2" i="9"/>
  <c r="CX4" i="9"/>
  <c r="CX1" i="9"/>
  <c r="CY4" i="9" l="1"/>
  <c r="CZ3" i="9"/>
  <c r="CZ4" i="9" l="1"/>
  <c r="DA3" i="9"/>
  <c r="DB3" i="9" l="1"/>
  <c r="DA4" i="9"/>
  <c r="DC3" i="9" l="1"/>
  <c r="DB4" i="9"/>
  <c r="DC4" i="9" l="1"/>
  <c r="DD3" i="9"/>
  <c r="DD4" i="9" l="1"/>
  <c r="DE3" i="9"/>
  <c r="DF3" i="9" l="1"/>
  <c r="DE1" i="9"/>
  <c r="DE2" i="9"/>
  <c r="DE4" i="9"/>
  <c r="DG3" i="9" l="1"/>
  <c r="DF4" i="9"/>
  <c r="DH3" i="9" l="1"/>
  <c r="DG4" i="9"/>
  <c r="DH4" i="9" l="1"/>
  <c r="DI3" i="9"/>
  <c r="DI4" i="9" l="1"/>
  <c r="DJ3" i="9"/>
  <c r="DJ4" i="9" l="1"/>
  <c r="DK3" i="9"/>
  <c r="DK4" i="9" l="1"/>
  <c r="DL3" i="9"/>
  <c r="DM3" i="9" l="1"/>
  <c r="DL4" i="9"/>
  <c r="DL2" i="9"/>
  <c r="DL1" i="9"/>
  <c r="DN3" i="9" l="1"/>
  <c r="DM4" i="9"/>
  <c r="DO3" i="9" l="1"/>
  <c r="DN4" i="9"/>
  <c r="DP3" i="9" l="1"/>
  <c r="DO4" i="9"/>
  <c r="DQ3" i="9" l="1"/>
  <c r="DP4" i="9"/>
  <c r="DQ4" i="9" l="1"/>
  <c r="DR3" i="9"/>
  <c r="DR4" i="9" l="1"/>
  <c r="DS3" i="9"/>
  <c r="DT3" i="9" l="1"/>
  <c r="DS1" i="9"/>
  <c r="DS2" i="9"/>
  <c r="DS4" i="9"/>
  <c r="DT4" i="9" l="1"/>
  <c r="DU3" i="9"/>
  <c r="DU4" i="9" l="1"/>
  <c r="DV3" i="9"/>
  <c r="DW3" i="9" l="1"/>
  <c r="DV4" i="9"/>
  <c r="DW4" i="9" l="1"/>
  <c r="DX3" i="9"/>
  <c r="DX4" i="9" l="1"/>
  <c r="DY3" i="9"/>
  <c r="DY4" i="9" l="1"/>
  <c r="DZ3" i="9"/>
  <c r="EA3" i="9" l="1"/>
  <c r="DZ1" i="9"/>
  <c r="DZ2" i="9"/>
  <c r="DZ4" i="9"/>
  <c r="EB3" i="9" l="1"/>
  <c r="EA4" i="9"/>
  <c r="EC3" i="9" l="1"/>
  <c r="EB4" i="9"/>
  <c r="EC4" i="9" l="1"/>
  <c r="ED3" i="9"/>
  <c r="EE3" i="9" l="1"/>
  <c r="ED4" i="9"/>
  <c r="EF3" i="9" l="1"/>
  <c r="EE4" i="9"/>
  <c r="EF4" i="9" l="1"/>
  <c r="EG3" i="9"/>
  <c r="EH3" i="9" l="1"/>
  <c r="EG2" i="9"/>
  <c r="EG4" i="9"/>
  <c r="EG1" i="9"/>
  <c r="EI3" i="9" l="1"/>
  <c r="EH4" i="9"/>
  <c r="EJ3" i="9" l="1"/>
  <c r="EI4" i="9"/>
  <c r="EK3" i="9" l="1"/>
  <c r="EJ4" i="9"/>
  <c r="EL3" i="9" l="1"/>
  <c r="EK4" i="9"/>
  <c r="EM3" i="9" l="1"/>
  <c r="EL4" i="9"/>
  <c r="EM4" i="9" l="1"/>
  <c r="EN3" i="9"/>
  <c r="EO3" i="9" l="1"/>
  <c r="EN1" i="9"/>
  <c r="EN2" i="9"/>
  <c r="EN4" i="9"/>
  <c r="EP3" i="9" l="1"/>
  <c r="EO4" i="9"/>
  <c r="EQ3" i="9" l="1"/>
  <c r="EP4" i="9"/>
  <c r="ER3" i="9" l="1"/>
  <c r="EQ4" i="9"/>
  <c r="ER4" i="9" l="1"/>
  <c r="ES3" i="9"/>
  <c r="ES4" i="9" l="1"/>
  <c r="ET3" i="9"/>
  <c r="ET4" i="9" l="1"/>
  <c r="EU3" i="9"/>
  <c r="EU2" i="9" l="1"/>
  <c r="EU1" i="9"/>
  <c r="EV3" i="9"/>
  <c r="EU4" i="9"/>
  <c r="EV4" i="9" l="1"/>
  <c r="EW3" i="9"/>
  <c r="EX3" i="9" l="1"/>
  <c r="EW4" i="9"/>
  <c r="EY3" i="9" l="1"/>
  <c r="EX4" i="9"/>
  <c r="EY4" i="9" l="1"/>
  <c r="EZ3" i="9"/>
  <c r="EZ4" i="9" l="1"/>
  <c r="FA3" i="9"/>
  <c r="FA4" i="9" l="1"/>
  <c r="FB3" i="9"/>
  <c r="FC3" i="9" l="1"/>
  <c r="FB1" i="9"/>
  <c r="FB2" i="9"/>
  <c r="FB4" i="9"/>
  <c r="FD3" i="9" l="1"/>
  <c r="FC4" i="9"/>
  <c r="FE3" i="9" l="1"/>
  <c r="FD4" i="9"/>
  <c r="FF3" i="9" l="1"/>
  <c r="FE4" i="9"/>
  <c r="FF4" i="9" l="1"/>
  <c r="FG3" i="9"/>
  <c r="FH3" i="9" l="1"/>
  <c r="FG4" i="9"/>
  <c r="FH4" i="9" l="1"/>
  <c r="FI3" i="9"/>
  <c r="FJ3" i="9" l="1"/>
  <c r="FI4" i="9"/>
  <c r="FI1" i="9"/>
  <c r="FI2" i="9"/>
  <c r="FK3" i="9" l="1"/>
  <c r="FJ4" i="9"/>
  <c r="FK4" i="9" l="1"/>
  <c r="FL3" i="9"/>
  <c r="FM3" i="9" l="1"/>
  <c r="FL4" i="9"/>
  <c r="FN3" i="9" l="1"/>
  <c r="FM4" i="9"/>
  <c r="FN4" i="9" l="1"/>
  <c r="FO3" i="9"/>
  <c r="FO4" i="9" l="1"/>
  <c r="FP3" i="9"/>
  <c r="FQ3" i="9" l="1"/>
  <c r="FP1" i="9"/>
  <c r="FP2" i="9"/>
  <c r="FP4" i="9"/>
  <c r="FQ4" i="9" l="1"/>
  <c r="FR3" i="9"/>
  <c r="FR4" i="9" l="1"/>
  <c r="FS3" i="9"/>
  <c r="FT3" i="9" l="1"/>
  <c r="FS4" i="9"/>
  <c r="FU3" i="9" l="1"/>
  <c r="FT4" i="9"/>
  <c r="FU4" i="9" l="1"/>
  <c r="FV3" i="9"/>
  <c r="FV4" i="9" l="1"/>
  <c r="FW3" i="9"/>
  <c r="FX3" i="9" l="1"/>
  <c r="FW1" i="9"/>
  <c r="FW2" i="9"/>
  <c r="FW4" i="9"/>
  <c r="FY3" i="9" l="1"/>
  <c r="FX4" i="9"/>
  <c r="FY4" i="9" l="1"/>
  <c r="FZ3" i="9"/>
  <c r="FZ4" i="9" l="1"/>
  <c r="GA3" i="9"/>
  <c r="GB3" i="9" l="1"/>
  <c r="GA4" i="9"/>
  <c r="GB4" i="9" l="1"/>
  <c r="GC3" i="9"/>
  <c r="GC4" i="9" l="1"/>
  <c r="GD3" i="9"/>
  <c r="GE3" i="9" l="1"/>
  <c r="GD4" i="9"/>
  <c r="GD2" i="9"/>
  <c r="GD1" i="9"/>
  <c r="GF3" i="9" l="1"/>
  <c r="GE4" i="9"/>
  <c r="GG3" i="9" l="1"/>
  <c r="GF4" i="9"/>
  <c r="GH3" i="9" l="1"/>
  <c r="GG4" i="9"/>
  <c r="GH4" i="9" l="1"/>
  <c r="GI3" i="9"/>
  <c r="GJ3" i="9" l="1"/>
  <c r="GI4" i="9"/>
  <c r="GJ4" i="9" l="1"/>
  <c r="GK3" i="9"/>
  <c r="GK4" i="9" l="1"/>
  <c r="GK1" i="9"/>
  <c r="GK2" i="9"/>
  <c r="GL3" i="9"/>
  <c r="GL4" i="9" l="1"/>
  <c r="GM3" i="9"/>
  <c r="GN3" i="9" l="1"/>
  <c r="GM4" i="9"/>
  <c r="GN4" i="9" l="1"/>
  <c r="GO3" i="9"/>
  <c r="GP3" i="9" l="1"/>
  <c r="GO4" i="9"/>
  <c r="GQ3" i="9" l="1"/>
  <c r="GP4" i="9"/>
  <c r="GQ4" i="9" l="1"/>
  <c r="GR3" i="9"/>
  <c r="GR2" i="9" l="1"/>
  <c r="GR4" i="9"/>
  <c r="GR1" i="9"/>
  <c r="GS3" i="9"/>
  <c r="GT3" i="9" l="1"/>
  <c r="GS4" i="9"/>
  <c r="GU3" i="9" l="1"/>
  <c r="GT4" i="9"/>
  <c r="GV3" i="9" l="1"/>
  <c r="GU4" i="9"/>
  <c r="GW3" i="9" l="1"/>
  <c r="GV4" i="9"/>
  <c r="GW4" i="9" l="1"/>
  <c r="GX3" i="9"/>
  <c r="GX4" i="9" l="1"/>
  <c r="GY3" i="9"/>
  <c r="GY4" i="9" l="1"/>
  <c r="GY2" i="9"/>
  <c r="GZ3" i="9"/>
  <c r="GY1" i="9"/>
  <c r="GZ4" i="9" l="1"/>
  <c r="HA3" i="9"/>
  <c r="HA4" i="9" l="1"/>
  <c r="HB3" i="9"/>
  <c r="HB4" i="9" l="1"/>
  <c r="HC3" i="9"/>
  <c r="HC4" i="9" l="1"/>
  <c r="HD3" i="9"/>
  <c r="HE3" i="9" l="1"/>
  <c r="HD4" i="9"/>
  <c r="HE4" i="9" l="1"/>
  <c r="HF3" i="9"/>
  <c r="HG3" i="9" l="1"/>
  <c r="HF2" i="9"/>
  <c r="HF4" i="9"/>
  <c r="HF1" i="9"/>
  <c r="HG4" i="9" l="1"/>
  <c r="HH3" i="9"/>
  <c r="HI3" i="9" l="1"/>
  <c r="HH4" i="9"/>
  <c r="HI4" i="9" l="1"/>
  <c r="HJ3" i="9"/>
  <c r="HJ4" i="9" l="1"/>
  <c r="HK3" i="9"/>
  <c r="HK4" i="9" l="1"/>
  <c r="HL3" i="9"/>
  <c r="HL4" i="9" l="1"/>
  <c r="HM3" i="9"/>
  <c r="HN3" i="9" l="1"/>
  <c r="HM1" i="9"/>
  <c r="HM2" i="9"/>
  <c r="HM4" i="9"/>
  <c r="HO3" i="9" l="1"/>
  <c r="HN4" i="9"/>
  <c r="HP3" i="9" l="1"/>
  <c r="HO4" i="9"/>
  <c r="HQ3" i="9" l="1"/>
  <c r="HP4" i="9"/>
  <c r="HR3" i="9" l="1"/>
  <c r="HQ4" i="9"/>
  <c r="HR4" i="9" l="1"/>
  <c r="HS3" i="9"/>
  <c r="HS4" i="9" l="1"/>
  <c r="HT3" i="9"/>
  <c r="HU3" i="9" l="1"/>
  <c r="HT2" i="9"/>
  <c r="HT4" i="9"/>
  <c r="HT1" i="9"/>
  <c r="HU4" i="9" l="1"/>
  <c r="HV3" i="9"/>
  <c r="HW3" i="9" l="1"/>
  <c r="HV4" i="9"/>
  <c r="HX3" i="9" l="1"/>
  <c r="HW4" i="9"/>
  <c r="HY3" i="9" l="1"/>
  <c r="HX4" i="9"/>
  <c r="HY4" i="9" l="1"/>
  <c r="HZ3" i="9"/>
  <c r="HZ4" i="9" l="1"/>
  <c r="IA3" i="9"/>
  <c r="IA2" i="9" l="1"/>
  <c r="IB3" i="9"/>
  <c r="IA1" i="9"/>
  <c r="IA4" i="9"/>
  <c r="IC3" i="9" l="1"/>
  <c r="IB4" i="9"/>
  <c r="IC4" i="9" l="1"/>
  <c r="ID3" i="9"/>
  <c r="ID4" i="9" l="1"/>
  <c r="IE3" i="9"/>
  <c r="IE4" i="9" l="1"/>
  <c r="IF3" i="9"/>
  <c r="IF4" i="9" l="1"/>
  <c r="IG3" i="9"/>
  <c r="IG4" i="9" l="1"/>
  <c r="IH3" i="9"/>
  <c r="IH4" i="9" l="1"/>
  <c r="IH1" i="9"/>
  <c r="IH2" i="9"/>
  <c r="II3" i="9"/>
  <c r="IJ3" i="9" l="1"/>
  <c r="II4" i="9"/>
  <c r="IJ4" i="9" l="1"/>
  <c r="IK3" i="9"/>
  <c r="IK4" i="9" l="1"/>
  <c r="IL3" i="9"/>
  <c r="IM3" i="9" l="1"/>
  <c r="IL4" i="9"/>
  <c r="IM4" i="9" l="1"/>
  <c r="IN3" i="9"/>
  <c r="IN4" i="9" l="1"/>
  <c r="IO3" i="9"/>
  <c r="IP3" i="9" l="1"/>
  <c r="IO2" i="9"/>
  <c r="IO1" i="9"/>
  <c r="IO4" i="9"/>
  <c r="IQ3" i="9" l="1"/>
  <c r="IP4" i="9"/>
  <c r="IQ4" i="9" l="1"/>
  <c r="IR3" i="9"/>
  <c r="IS3" i="9" l="1"/>
  <c r="IR4" i="9"/>
  <c r="IT3" i="9" l="1"/>
  <c r="IS4" i="9"/>
  <c r="IT4" i="9" l="1"/>
  <c r="IU3" i="9"/>
  <c r="IU4" i="9" l="1"/>
  <c r="IV3" i="9"/>
  <c r="IW3" i="9" l="1"/>
  <c r="IV1" i="9"/>
  <c r="IV2" i="9"/>
  <c r="IV4" i="9"/>
  <c r="IX3" i="9" l="1"/>
  <c r="IW4" i="9"/>
  <c r="IY3" i="9" l="1"/>
  <c r="IX4" i="9"/>
  <c r="IZ3" i="9" l="1"/>
  <c r="IY4" i="9"/>
  <c r="JA3" i="9" l="1"/>
  <c r="IZ4" i="9"/>
  <c r="JA4" i="9" l="1"/>
  <c r="JB3" i="9"/>
  <c r="JB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4" authorId="0" shapeId="0" xr:uid="{00000000-0006-0000-0000-000001000000}">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C4" authorId="0" shapeId="0" xr:uid="{00000000-0006-0000-0000-000002000000}">
      <text>
        <r>
          <rPr>
            <b/>
            <sz val="9"/>
            <color indexed="81"/>
            <rFont val="Tahoma"/>
            <family val="2"/>
          </rPr>
          <t>Task Description</t>
        </r>
        <r>
          <rPr>
            <sz val="9"/>
            <color indexed="81"/>
            <rFont val="Tahoma"/>
            <family val="2"/>
          </rPr>
          <t xml:space="preserve">
Enter the name of each task and sub-task. Use indents for sub-tasks.</t>
        </r>
      </text>
    </comment>
    <comment ref="K4" authorId="0" shapeId="0" xr:uid="{00000000-0006-0000-0000-000004000000}">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L4" authorId="0" shapeId="0" xr:uid="{00000000-0006-0000-0000-000005000000}">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M4" authorId="1" shapeId="0" xr:uid="{00000000-0006-0000-0000-000006000000}">
      <text>
        <r>
          <rPr>
            <b/>
            <sz val="9"/>
            <color indexed="81"/>
            <rFont val="Tahoma"/>
            <family val="2"/>
          </rPr>
          <t>End Date:</t>
        </r>
        <r>
          <rPr>
            <sz val="9"/>
            <color indexed="81"/>
            <rFont val="Tahoma"/>
            <family val="2"/>
          </rPr>
          <t xml:space="preserve">
The End Date is calculated based on the Start Date and the Calendar Days columns.</t>
        </r>
      </text>
    </comment>
    <comment ref="N4" authorId="0" shapeId="0" xr:uid="{00000000-0006-0000-0000-000007000000}">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O4" authorId="0" shapeId="0" xr:uid="{00000000-0006-0000-0000-000008000000}">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P4" authorId="0" shapeId="0" xr:uid="{00000000-0006-0000-0000-000009000000}">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<sst xmlns="http://schemas.openxmlformats.org/spreadsheetml/2006/main" count="81" uniqueCount="70">
  <si>
    <t>WBS</t>
  </si>
  <si>
    <t>TEMPLATE ROWS</t>
  </si>
  <si>
    <t>[Task Category]</t>
  </si>
  <si>
    <t>[Task]</t>
  </si>
  <si>
    <t>[Name]</t>
  </si>
  <si>
    <t>See the Help worksheet to learn how to use these rows. You can hide these rows before printing.</t>
  </si>
  <si>
    <t xml:space="preserve"> . [ Level 2 Task ]</t>
  </si>
  <si>
    <t xml:space="preserve"> . . [ Level 3 Task ]</t>
  </si>
  <si>
    <t xml:space="preserve"> . . . [ Level 4 Task ]</t>
  </si>
  <si>
    <t>TASK</t>
  </si>
  <si>
    <t>LEAD</t>
  </si>
  <si>
    <t>START</t>
  </si>
  <si>
    <t>END</t>
  </si>
  <si>
    <t>DAYS</t>
  </si>
  <si>
    <t>% DONE</t>
  </si>
  <si>
    <t>WORK DAYS</t>
  </si>
  <si>
    <t>PREDECESSOR</t>
  </si>
  <si>
    <t xml:space="preserve">Display Week </t>
  </si>
  <si>
    <t xml:space="preserve">Project Start Date </t>
  </si>
  <si>
    <t xml:space="preserve">Project Lead </t>
  </si>
  <si>
    <t>[ Level 1 Task or Phase ]</t>
  </si>
  <si>
    <t>Pw Skills</t>
  </si>
  <si>
    <t>HTML</t>
  </si>
  <si>
    <t>CSS</t>
  </si>
  <si>
    <t>JS</t>
  </si>
  <si>
    <t>Video - Media Forms, Modren Html, seo</t>
  </si>
  <si>
    <t>Video</t>
  </si>
  <si>
    <t>Practice</t>
  </si>
  <si>
    <t>Practice -</t>
  </si>
  <si>
    <t xml:space="preserve">Video - </t>
  </si>
  <si>
    <t>Youtube Clone JS Mastery</t>
  </si>
  <si>
    <t>Practice - Navbar basic setup</t>
  </si>
  <si>
    <t>Practice - SideBar basic Setup</t>
  </si>
  <si>
    <t>Generative AI in a Nutshell - how to survive and thrive in the age of AI</t>
  </si>
  <si>
    <t>Video - css Basics</t>
  </si>
  <si>
    <t>[ Level 1 Task or Phase ] Example</t>
  </si>
  <si>
    <t xml:space="preserve"> . [ Level 2 Task ] Example</t>
  </si>
  <si>
    <t xml:space="preserve"> . . [ Level 3 Task ] Example</t>
  </si>
  <si>
    <t xml:space="preserve"> . . . [ Level 4 Task ] Example</t>
  </si>
  <si>
    <t>How the Way You Respond to Boredom Changes Your Life</t>
  </si>
  <si>
    <t>How to Master React in 2024 - The React Roadmap</t>
  </si>
  <si>
    <t>Theory Youtube videos</t>
  </si>
  <si>
    <t>Theory AI</t>
  </si>
  <si>
    <t>Theory Life</t>
  </si>
  <si>
    <t>Theory WebDev</t>
  </si>
  <si>
    <t>Practice Projects Youtube</t>
  </si>
  <si>
    <t>Theory Job</t>
  </si>
  <si>
    <t>These Mistakes Can End Your Career As A Software Developer!</t>
  </si>
  <si>
    <t>Theory Deployment</t>
  </si>
  <si>
    <t>Docker in 100 Seconds</t>
  </si>
  <si>
    <t>Never install locally - Coderized</t>
  </si>
  <si>
    <t>Reality of IT Industry | Layoffs | Career after 40 | Anand Vaishampayan | Hemant Pant GIGL</t>
  </si>
  <si>
    <t>Udemy</t>
  </si>
  <si>
    <t>React - The Complete Guide</t>
  </si>
  <si>
    <t>Getting started</t>
  </si>
  <si>
    <t xml:space="preserve"> . . . .[ Level 5 Task ] Example</t>
  </si>
  <si>
    <t>Youtube courses</t>
  </si>
  <si>
    <t>TypeScript Full Course for Beginners</t>
  </si>
  <si>
    <t>Video - Start here Ts</t>
  </si>
  <si>
    <t>Video - Basic types</t>
  </si>
  <si>
    <t xml:space="preserve">Video - Arrays and objects </t>
  </si>
  <si>
    <t>Video - functions</t>
  </si>
  <si>
    <t>Video - assertions</t>
  </si>
  <si>
    <t>Angular course</t>
  </si>
  <si>
    <t>100+ Docker Concepts you Need to Know</t>
  </si>
  <si>
    <t>Always code inside containers</t>
  </si>
  <si>
    <t>Basics</t>
  </si>
  <si>
    <t>ngStyle and ngClass - 2hours</t>
  </si>
  <si>
    <t>ngFor</t>
  </si>
  <si>
    <t>optinal assignmenet after basics module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</si>
</sst>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yyyy\ \(dddd\)"/>
    <numFmt numFmtId="165" formatCode="ddd\ m/dd/yy"/>
    <numFmt numFmtId="166" formatCode="d"/>
    <numFmt numFmtId="167" formatCode="d\ mmm\ yyyy"/>
  </numFmts>
  <fonts count="44" x14ac:knownFonts="1">
    <font>
      <sz val="10"/>
      <name val="Arial"/>
    </font>
    <font>
      <sz val="10"/>
      <name val="Arial"/>
      <family val="2"/>
    </font>
    <font>
      <u/>
      <sz val="10"/>
      <color indexed="12"/>
      <name val="Arial"/>
      <family val="2"/>
    </font>
    <font>
      <sz val="8"/>
      <name val="Arial"/>
      <family val="2"/>
    </font>
    <font>
      <sz val="10"/>
      <name val="Arial"/>
      <family val="2"/>
    </font>
    <font>
      <sz val="11"/>
      <color indexed="8"/>
      <name val="Calibri"/>
      <family val="2"/>
    </font>
    <font>
      <sz val="11"/>
      <color indexed="9"/>
      <name val="Calibri"/>
      <family val="2"/>
    </font>
    <font>
      <sz val="11"/>
      <color indexed="36"/>
      <name val="Calibri"/>
      <family val="2"/>
    </font>
    <font>
      <b/>
      <sz val="11"/>
      <color indexed="50"/>
      <name val="Calibri"/>
      <family val="2"/>
    </font>
    <font>
      <b/>
      <sz val="11"/>
      <color indexed="9"/>
      <name val="Calibri"/>
      <family val="2"/>
    </font>
    <font>
      <i/>
      <sz val="11"/>
      <color indexed="23"/>
      <name val="Calibri"/>
      <family val="2"/>
    </font>
    <font>
      <sz val="11"/>
      <color indexed="17"/>
      <name val="Calibri"/>
      <family val="2"/>
    </font>
    <font>
      <b/>
      <sz val="15"/>
      <color indexed="18"/>
      <name val="Calibri"/>
      <family val="2"/>
    </font>
    <font>
      <b/>
      <sz val="13"/>
      <color indexed="18"/>
      <name val="Calibri"/>
      <family val="2"/>
    </font>
    <font>
      <b/>
      <sz val="11"/>
      <color indexed="18"/>
      <name val="Calibri"/>
      <family val="2"/>
    </font>
    <font>
      <sz val="11"/>
      <color indexed="53"/>
      <name val="Calibri"/>
      <family val="2"/>
    </font>
    <font>
      <sz val="11"/>
      <color indexed="50"/>
      <name val="Calibri"/>
      <family val="2"/>
    </font>
    <font>
      <sz val="11"/>
      <color indexed="59"/>
      <name val="Calibri"/>
      <family val="2"/>
    </font>
    <font>
      <b/>
      <sz val="11"/>
      <color indexed="63"/>
      <name val="Calibri"/>
      <family val="2"/>
    </font>
    <font>
      <b/>
      <sz val="18"/>
      <color indexed="18"/>
      <name val="Cambria"/>
      <family val="2"/>
    </font>
    <font>
      <b/>
      <sz val="11"/>
      <color indexed="8"/>
      <name val="Calibri"/>
      <family val="2"/>
    </font>
    <font>
      <sz val="11"/>
      <color indexed="10"/>
      <name val="Calibri"/>
      <family val="2"/>
    </font>
    <font>
      <b/>
      <sz val="9"/>
      <color indexed="81"/>
      <name val="Tahoma"/>
      <family val="2"/>
    </font>
    <font>
      <sz val="9"/>
      <color indexed="81"/>
      <name val="Tahoma"/>
      <family val="2"/>
    </font>
    <font>
      <b/>
      <i/>
      <sz val="9"/>
      <color indexed="81"/>
      <name val="Tahoma"/>
      <family val="2"/>
    </font>
    <font>
      <i/>
      <sz val="9"/>
      <color indexed="81"/>
      <name val="Tahoma"/>
      <family val="2"/>
    </font>
    <font>
      <sz val="9"/>
      <name val="Arial"/>
      <family val="2"/>
      <scheme val="minor"/>
    </font>
    <font>
      <sz val="10"/>
      <name val="Arial"/>
      <family val="1"/>
      <scheme val="major"/>
    </font>
    <font>
      <sz val="10"/>
      <name val="Arial"/>
      <family val="2"/>
      <scheme val="minor"/>
    </font>
    <font>
      <b/>
      <sz val="11"/>
      <name val="Arial"/>
      <family val="2"/>
      <scheme val="minor"/>
    </font>
    <font>
      <sz val="9"/>
      <color rgb="FF000000"/>
      <name val="Arial"/>
      <family val="2"/>
      <scheme val="minor"/>
    </font>
    <font>
      <i/>
      <sz val="9"/>
      <name val="Arial"/>
      <family val="2"/>
      <scheme val="minor"/>
    </font>
    <font>
      <b/>
      <sz val="10"/>
      <color rgb="FF000000"/>
      <name val="Arial"/>
      <family val="2"/>
      <scheme val="minor"/>
    </font>
    <font>
      <sz val="10"/>
      <color rgb="FF000000"/>
      <name val="Arial"/>
      <family val="2"/>
      <scheme val="minor"/>
    </font>
    <font>
      <sz val="8"/>
      <name val="Arial"/>
      <family val="2"/>
      <scheme val="minor"/>
    </font>
    <font>
      <sz val="11"/>
      <name val="Arial"/>
      <family val="2"/>
      <scheme val="minor"/>
    </font>
    <font>
      <sz val="10"/>
      <name val="Arial"/>
      <family val="2"/>
      <scheme val="major"/>
    </font>
    <font>
      <b/>
      <sz val="9"/>
      <name val="Arial"/>
      <family val="2"/>
      <scheme val="major"/>
    </font>
    <font>
      <b/>
      <sz val="8"/>
      <name val="Arial"/>
      <family val="2"/>
      <scheme val="major"/>
    </font>
    <font>
      <b/>
      <sz val="11"/>
      <color rgb="FF000000"/>
      <name val="Arial"/>
      <family val="2"/>
      <scheme val="minor"/>
    </font>
    <font>
      <sz val="10"/>
      <color rgb="FF002060"/>
      <name val="Arial"/>
      <family val="2"/>
    </font>
    <font>
      <i/>
      <u/>
      <sz val="10"/>
      <color indexed="12"/>
      <name val="Arial"/>
      <family val="2"/>
    </font>
    <font>
      <b/>
      <sz val="10"/>
      <color rgb="FFFF0000"/>
      <name val="Aptos"/>
      <family val="2"/>
    </font>
    <font>
      <b/>
      <sz val="9"/>
      <color rgb="FF000000"/>
      <name val="Arial"/>
      <family val="2"/>
      <scheme val="minor"/>
    </font>
  </fonts>
  <fills count="31">
    <fill>
      <patternFill patternType="none"/>
    </fill>
    <fill>
      <patternFill patternType="gray125"/>
    </fill>
    <fill>
      <patternFill patternType="solid">
        <fgColor indexed="47"/>
      </patternFill>
    </fill>
    <fill>
      <patternFill patternType="solid">
        <fgColor indexed="46"/>
      </patternFill>
    </fill>
    <fill>
      <patternFill patternType="solid">
        <fgColor indexed="41"/>
      </patternFill>
    </fill>
    <fill>
      <patternFill patternType="solid">
        <fgColor indexed="26"/>
      </patternFill>
    </fill>
    <fill>
      <patternFill patternType="solid">
        <fgColor indexed="51"/>
      </patternFill>
    </fill>
    <fill>
      <patternFill patternType="solid">
        <fgColor indexed="61"/>
      </patternFill>
    </fill>
    <fill>
      <patternFill patternType="solid">
        <fgColor indexed="52"/>
      </patternFill>
    </fill>
    <fill>
      <patternFill patternType="solid">
        <fgColor indexed="20"/>
      </patternFill>
    </fill>
    <fill>
      <patternFill patternType="solid">
        <fgColor indexed="40"/>
      </patternFill>
    </fill>
    <fill>
      <patternFill patternType="solid">
        <fgColor indexed="29"/>
      </patternFill>
    </fill>
    <fill>
      <patternFill patternType="solid">
        <fgColor indexed="14"/>
      </patternFill>
    </fill>
    <fill>
      <patternFill patternType="solid">
        <fgColor indexed="23"/>
      </patternFill>
    </fill>
    <fill>
      <patternFill patternType="solid">
        <fgColor indexed="15"/>
      </patternFill>
    </fill>
    <fill>
      <patternFill patternType="solid">
        <fgColor indexed="10"/>
      </patternFill>
    </fill>
    <fill>
      <patternFill patternType="solid">
        <fgColor indexed="45"/>
      </patternFill>
    </fill>
    <fill>
      <patternFill patternType="solid">
        <fgColor indexed="22"/>
      </patternFill>
    </fill>
    <fill>
      <patternFill patternType="solid">
        <fgColor indexed="55"/>
      </patternFill>
    </fill>
    <fill>
      <patternFill patternType="solid">
        <fgColor indexed="42"/>
      </patternFill>
    </fill>
    <fill>
      <patternFill patternType="solid">
        <fgColor rgb="FFFFFFFF"/>
        <bgColor rgb="FFFFFFFF"/>
      </patternFill>
    </fill>
    <fill>
      <patternFill patternType="solid">
        <fgColor theme="0" tint="-0.14999847407452621"/>
        <bgColor rgb="FFD9D9D9"/>
      </patternFill>
    </fill>
    <fill>
      <patternFill patternType="solid">
        <fgColor theme="0" tint="-0.14999847407452621"/>
        <bgColor indexed="64"/>
      </patternFill>
    </fill>
    <fill>
      <patternFill patternType="solid">
        <fgColor theme="3" tint="0.79998168889431442"/>
        <bgColor rgb="FFD6F4D9"/>
      </patternFill>
    </fill>
    <fill>
      <patternFill patternType="solid">
        <fgColor theme="3" tint="0.79998168889431442"/>
        <bgColor indexed="64"/>
      </patternFill>
    </fill>
    <fill>
      <patternFill patternType="solid">
        <fgColor rgb="FFFFFF00"/>
        <bgColor indexed="64"/>
      </patternFill>
    </fill>
    <fill>
      <patternFill patternType="solid">
        <fgColor theme="3"/>
        <bgColor indexed="64"/>
      </patternFill>
    </fill>
    <fill>
      <patternFill patternType="solid">
        <fgColor rgb="FFFFC000"/>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7F7B9"/>
        <bgColor indexed="64"/>
      </patternFill>
    </fill>
  </fills>
  <borders count="3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0"/>
      </bottom>
      <diagonal/>
    </border>
    <border>
      <left/>
      <right/>
      <top/>
      <bottom style="thick">
        <color indexed="51"/>
      </bottom>
      <diagonal/>
    </border>
    <border>
      <left/>
      <right/>
      <top/>
      <bottom style="medium">
        <color indexed="52"/>
      </bottom>
      <diagonal/>
    </border>
    <border>
      <left/>
      <right/>
      <top/>
      <bottom style="double">
        <color indexed="50"/>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40"/>
      </top>
      <bottom style="double">
        <color indexed="40"/>
      </bottom>
      <diagonal/>
    </border>
    <border>
      <left/>
      <right/>
      <top style="thin">
        <color indexed="22"/>
      </top>
      <bottom style="thin">
        <color indexed="22"/>
      </bottom>
      <diagonal/>
    </border>
    <border>
      <left/>
      <right/>
      <top/>
      <bottom style="thin">
        <color rgb="FFEFEFEF"/>
      </bottom>
      <diagonal/>
    </border>
    <border>
      <left/>
      <right/>
      <top style="thin">
        <color rgb="FFEFEFEF"/>
      </top>
      <bottom style="thin">
        <color rgb="FFEFEFEF"/>
      </bottom>
      <diagonal/>
    </border>
    <border>
      <left style="thin">
        <color theme="0" tint="-0.24994659260841701"/>
      </left>
      <right style="thin">
        <color theme="0" tint="-0.24994659260841701"/>
      </right>
      <top/>
      <bottom/>
      <diagonal/>
    </border>
    <border>
      <left/>
      <right/>
      <top/>
      <bottom style="thin">
        <color indexed="22"/>
      </bottom>
      <diagonal/>
    </border>
    <border>
      <left/>
      <right/>
      <top style="thin">
        <color theme="0" tint="-0.24994659260841701"/>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bottom style="thin">
        <color theme="0" tint="-0.24994659260841701"/>
      </bottom>
      <diagonal/>
    </border>
    <border>
      <left/>
      <right/>
      <top style="thin">
        <color indexed="22"/>
      </top>
      <bottom style="double">
        <color rgb="FFFF0000"/>
      </bottom>
      <diagonal/>
    </border>
    <border>
      <left/>
      <right style="thick">
        <color rgb="FFFF0000"/>
      </right>
      <top/>
      <bottom/>
      <diagonal/>
    </border>
    <border>
      <left/>
      <right style="thick">
        <color rgb="FFFF0000"/>
      </right>
      <top style="thin">
        <color indexed="22"/>
      </top>
      <bottom style="thin">
        <color indexed="22"/>
      </bottom>
      <diagonal/>
    </border>
    <border>
      <left/>
      <right style="thick">
        <color rgb="FFFF0000"/>
      </right>
      <top style="thin">
        <color indexed="22"/>
      </top>
      <bottom style="double">
        <color rgb="FFFF0000"/>
      </bottom>
      <diagonal/>
    </border>
    <border>
      <left/>
      <right/>
      <top style="thin">
        <color indexed="22"/>
      </top>
      <bottom/>
      <diagonal/>
    </border>
    <border>
      <left/>
      <right style="thick">
        <color rgb="FFFF0000"/>
      </right>
      <top style="thin">
        <color indexed="22"/>
      </top>
      <bottom/>
      <diagonal/>
    </border>
    <border>
      <left/>
      <right/>
      <top style="thin">
        <color indexed="22"/>
      </top>
      <bottom style="double">
        <color indexed="64"/>
      </bottom>
      <diagonal/>
    </border>
  </borders>
  <cellStyleXfs count="44">
    <xf numFmtId="0" fontId="0" fillId="0" borderId="0"/>
    <xf numFmtId="0" fontId="5" fillId="2"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2"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6"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8"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0" borderId="0" applyNumberFormat="0" applyBorder="0" applyAlignment="0" applyProtection="0"/>
    <xf numFmtId="0" fontId="6" fillId="12" borderId="0" applyNumberFormat="0" applyBorder="0" applyAlignment="0" applyProtection="0"/>
    <xf numFmtId="0" fontId="6" fillId="9"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7" fillId="16" borderId="0" applyNumberFormat="0" applyBorder="0" applyAlignment="0" applyProtection="0"/>
    <xf numFmtId="0" fontId="8" fillId="17" borderId="1" applyNumberFormat="0" applyAlignment="0" applyProtection="0"/>
    <xf numFmtId="0" fontId="9" fillId="18" borderId="2" applyNumberFormat="0" applyAlignment="0" applyProtection="0"/>
    <xf numFmtId="0" fontId="10" fillId="0" borderId="0" applyNumberFormat="0" applyFill="0" applyBorder="0" applyAlignment="0" applyProtection="0"/>
    <xf numFmtId="0" fontId="11" fillId="19"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2" fillId="0" borderId="0" applyNumberFormat="0" applyFill="0" applyBorder="0" applyAlignment="0" applyProtection="0">
      <alignment vertical="top"/>
      <protection locked="0"/>
    </xf>
    <xf numFmtId="0" fontId="15" fillId="11" borderId="1" applyNumberFormat="0" applyAlignment="0" applyProtection="0"/>
    <xf numFmtId="0" fontId="16" fillId="0" borderId="6" applyNumberFormat="0" applyFill="0" applyAlignment="0" applyProtection="0"/>
    <xf numFmtId="0" fontId="17" fillId="5" borderId="0" applyNumberFormat="0" applyBorder="0" applyAlignment="0" applyProtection="0"/>
    <xf numFmtId="0" fontId="4" fillId="5" borderId="7" applyNumberFormat="0" applyFont="0" applyAlignment="0" applyProtection="0"/>
    <xf numFmtId="0" fontId="18" fillId="17" borderId="8" applyNumberFormat="0" applyAlignment="0" applyProtection="0"/>
    <xf numFmtId="9" fontId="1" fillId="0" borderId="0" applyFont="0" applyFill="0" applyBorder="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cellStyleXfs>
  <cellXfs count="128">
    <xf numFmtId="0" fontId="0" fillId="0" borderId="0" xfId="0"/>
    <xf numFmtId="0" fontId="1" fillId="0" borderId="0" xfId="0" applyFont="1"/>
    <xf numFmtId="0" fontId="27" fillId="0" borderId="0" xfId="0" applyFont="1"/>
    <xf numFmtId="0" fontId="29" fillId="22" borderId="10" xfId="0" applyFont="1" applyFill="1" applyBorder="1" applyAlignment="1">
      <alignment horizontal="left" vertical="center"/>
    </xf>
    <xf numFmtId="0" fontId="26" fillId="22" borderId="10" xfId="0" applyFont="1" applyFill="1" applyBorder="1" applyAlignment="1">
      <alignment vertical="center"/>
    </xf>
    <xf numFmtId="0" fontId="26" fillId="22" borderId="10" xfId="0" applyFont="1" applyFill="1" applyBorder="1" applyAlignment="1">
      <alignment horizontal="center" vertical="center"/>
    </xf>
    <xf numFmtId="1" fontId="26" fillId="22" borderId="10" xfId="40" applyNumberFormat="1" applyFont="1" applyFill="1" applyBorder="1" applyAlignment="1" applyProtection="1">
      <alignment horizontal="center" vertical="center"/>
    </xf>
    <xf numFmtId="9" fontId="26" fillId="22" borderId="10" xfId="40" applyFont="1" applyFill="1" applyBorder="1" applyAlignment="1" applyProtection="1">
      <alignment horizontal="center" vertical="center"/>
    </xf>
    <xf numFmtId="1" fontId="26" fillId="22" borderId="10" xfId="0" applyNumberFormat="1" applyFont="1" applyFill="1" applyBorder="1" applyAlignment="1">
      <alignment horizontal="center" vertical="center"/>
    </xf>
    <xf numFmtId="0" fontId="26" fillId="0" borderId="10" xfId="0" applyFont="1" applyBorder="1" applyAlignment="1">
      <alignment horizontal="left" vertical="center"/>
    </xf>
    <xf numFmtId="0" fontId="26" fillId="0" borderId="10" xfId="0" applyFont="1" applyBorder="1" applyAlignment="1">
      <alignment vertical="center"/>
    </xf>
    <xf numFmtId="1" fontId="30" fillId="24" borderId="12" xfId="0" applyNumberFormat="1" applyFont="1" applyFill="1" applyBorder="1" applyAlignment="1">
      <alignment horizontal="center" vertical="center"/>
    </xf>
    <xf numFmtId="9" fontId="30" fillId="24" borderId="12" xfId="40" applyFont="1" applyFill="1" applyBorder="1" applyAlignment="1" applyProtection="1">
      <alignment horizontal="center" vertical="center"/>
    </xf>
    <xf numFmtId="1" fontId="30" fillId="0" borderId="12" xfId="0" applyNumberFormat="1" applyFont="1" applyBorder="1" applyAlignment="1">
      <alignment horizontal="center" vertical="center"/>
    </xf>
    <xf numFmtId="0" fontId="31" fillId="0" borderId="10" xfId="0" applyFont="1" applyBorder="1" applyAlignment="1">
      <alignment vertical="center"/>
    </xf>
    <xf numFmtId="0" fontId="26" fillId="0" borderId="10" xfId="0" applyFont="1" applyBorder="1" applyAlignment="1">
      <alignment horizontal="center" vertical="center"/>
    </xf>
    <xf numFmtId="1" fontId="26" fillId="0" borderId="10" xfId="40" applyNumberFormat="1" applyFont="1" applyFill="1" applyBorder="1" applyAlignment="1" applyProtection="1">
      <alignment horizontal="center" vertical="center"/>
    </xf>
    <xf numFmtId="9" fontId="26" fillId="0" borderId="10" xfId="40" applyFont="1" applyFill="1" applyBorder="1" applyAlignment="1" applyProtection="1">
      <alignment horizontal="center" vertical="center"/>
    </xf>
    <xf numFmtId="1" fontId="26" fillId="0" borderId="10" xfId="0" applyNumberFormat="1" applyFont="1" applyBorder="1" applyAlignment="1">
      <alignment horizontal="center" vertical="center"/>
    </xf>
    <xf numFmtId="0" fontId="26" fillId="0" borderId="0" xfId="0" applyFont="1" applyAlignment="1">
      <alignment vertical="center"/>
    </xf>
    <xf numFmtId="0" fontId="32" fillId="21" borderId="0" xfId="0" applyFont="1" applyFill="1" applyAlignment="1">
      <alignment vertical="center"/>
    </xf>
    <xf numFmtId="0" fontId="33" fillId="21" borderId="0" xfId="0" applyFont="1" applyFill="1" applyAlignment="1">
      <alignment vertical="center"/>
    </xf>
    <xf numFmtId="0" fontId="34" fillId="22" borderId="0" xfId="0" applyFont="1" applyFill="1" applyAlignment="1">
      <alignment vertical="center"/>
    </xf>
    <xf numFmtId="0" fontId="34" fillId="0" borderId="0" xfId="0" applyFont="1" applyAlignment="1">
      <alignment vertical="center"/>
    </xf>
    <xf numFmtId="0" fontId="30" fillId="21" borderId="0" xfId="0" applyFont="1" applyFill="1" applyAlignment="1">
      <alignment vertical="center"/>
    </xf>
    <xf numFmtId="0" fontId="26" fillId="22" borderId="0" xfId="0" applyFont="1" applyFill="1" applyAlignment="1">
      <alignment vertical="center"/>
    </xf>
    <xf numFmtId="0" fontId="30" fillId="20" borderId="11" xfId="0" applyFont="1" applyFill="1" applyBorder="1" applyAlignment="1">
      <alignment vertical="center"/>
    </xf>
    <xf numFmtId="0" fontId="30" fillId="0" borderId="12" xfId="0" quotePrefix="1" applyFont="1" applyBorder="1" applyAlignment="1">
      <alignment horizontal="center" vertical="center"/>
    </xf>
    <xf numFmtId="0" fontId="30" fillId="0" borderId="12" xfId="0" applyFont="1" applyBorder="1" applyAlignment="1">
      <alignment vertical="center"/>
    </xf>
    <xf numFmtId="166" fontId="3" fillId="0" borderId="13" xfId="0" applyNumberFormat="1" applyFont="1" applyBorder="1" applyAlignment="1">
      <alignment horizontal="center" vertical="center" shrinkToFit="1"/>
    </xf>
    <xf numFmtId="0" fontId="26" fillId="22" borderId="14" xfId="0" applyFont="1" applyFill="1" applyBorder="1" applyAlignment="1">
      <alignment vertical="center"/>
    </xf>
    <xf numFmtId="0" fontId="26" fillId="22" borderId="14" xfId="0" applyFont="1" applyFill="1" applyBorder="1" applyAlignment="1">
      <alignment horizontal="center" vertical="center"/>
    </xf>
    <xf numFmtId="165" fontId="26" fillId="22" borderId="14" xfId="0" applyNumberFormat="1" applyFont="1" applyFill="1" applyBorder="1" applyAlignment="1">
      <alignment horizontal="right" vertical="center"/>
    </xf>
    <xf numFmtId="1" fontId="26" fillId="22" borderId="14" xfId="40" applyNumberFormat="1" applyFont="1" applyFill="1" applyBorder="1" applyAlignment="1" applyProtection="1">
      <alignment horizontal="center" vertical="center"/>
    </xf>
    <xf numFmtId="9" fontId="26" fillId="22" borderId="14" xfId="40" applyFont="1" applyFill="1" applyBorder="1" applyAlignment="1" applyProtection="1">
      <alignment horizontal="center" vertical="center"/>
    </xf>
    <xf numFmtId="1" fontId="26" fillId="22" borderId="14" xfId="0" applyNumberFormat="1" applyFont="1" applyFill="1" applyBorder="1" applyAlignment="1">
      <alignment horizontal="center" vertical="center"/>
    </xf>
    <xf numFmtId="166" fontId="3" fillId="0" borderId="16" xfId="0" applyNumberFormat="1" applyFont="1" applyBorder="1" applyAlignment="1">
      <alignment horizontal="center" vertical="center" shrinkToFit="1"/>
    </xf>
    <xf numFmtId="166" fontId="3" fillId="0" borderId="17" xfId="0" applyNumberFormat="1" applyFont="1" applyBorder="1" applyAlignment="1">
      <alignment horizontal="center" vertical="center" shrinkToFit="1"/>
    </xf>
    <xf numFmtId="165" fontId="30" fillId="23" borderId="12" xfId="0" applyNumberFormat="1" applyFont="1" applyFill="1" applyBorder="1" applyAlignment="1">
      <alignment horizontal="center" vertical="center"/>
    </xf>
    <xf numFmtId="165" fontId="30" fillId="0" borderId="12" xfId="0" applyNumberFormat="1" applyFont="1" applyBorder="1" applyAlignment="1">
      <alignment horizontal="center" vertical="center"/>
    </xf>
    <xf numFmtId="165" fontId="26" fillId="22" borderId="10" xfId="0" applyNumberFormat="1" applyFont="1" applyFill="1" applyBorder="1" applyAlignment="1">
      <alignment horizontal="center" vertical="center"/>
    </xf>
    <xf numFmtId="0" fontId="31" fillId="0" borderId="10" xfId="0" applyFont="1" applyBorder="1" applyAlignment="1">
      <alignment horizontal="center" vertical="center"/>
    </xf>
    <xf numFmtId="0" fontId="33" fillId="21" borderId="0" xfId="0" applyFont="1" applyFill="1" applyAlignment="1">
      <alignment horizontal="center" vertical="center"/>
    </xf>
    <xf numFmtId="0" fontId="26" fillId="22" borderId="0" xfId="0" applyFont="1" applyFill="1" applyAlignment="1">
      <alignment horizontal="center" vertical="center"/>
    </xf>
    <xf numFmtId="0" fontId="26" fillId="22" borderId="14" xfId="0" applyFont="1" applyFill="1" applyBorder="1" applyAlignment="1">
      <alignment horizontal="left" vertical="center"/>
    </xf>
    <xf numFmtId="0" fontId="26" fillId="22" borderId="10" xfId="0" applyFont="1" applyFill="1" applyBorder="1" applyAlignment="1">
      <alignment horizontal="left" vertical="center"/>
    </xf>
    <xf numFmtId="0" fontId="36" fillId="0" borderId="0" xfId="0" applyFont="1"/>
    <xf numFmtId="0" fontId="36" fillId="0" borderId="0" xfId="0" applyFont="1" applyAlignment="1">
      <alignment horizontal="right" vertical="center"/>
    </xf>
    <xf numFmtId="165" fontId="26" fillId="22" borderId="14" xfId="0" applyNumberFormat="1" applyFont="1" applyFill="1" applyBorder="1" applyAlignment="1">
      <alignment horizontal="center" vertical="center"/>
    </xf>
    <xf numFmtId="0" fontId="37" fillId="0" borderId="18" xfId="0" applyFont="1" applyBorder="1" applyAlignment="1">
      <alignment horizontal="left" vertical="center"/>
    </xf>
    <xf numFmtId="0" fontId="37" fillId="0" borderId="18" xfId="0" applyFont="1" applyBorder="1" applyAlignment="1">
      <alignment horizontal="center" vertical="center" wrapText="1"/>
    </xf>
    <xf numFmtId="0" fontId="38" fillId="0" borderId="18" xfId="0" applyFont="1" applyBorder="1" applyAlignment="1">
      <alignment horizontal="center" vertical="center" wrapText="1"/>
    </xf>
    <xf numFmtId="0" fontId="37" fillId="0" borderId="18" xfId="0" applyFont="1" applyBorder="1" applyAlignment="1">
      <alignment horizontal="center" vertical="center"/>
    </xf>
    <xf numFmtId="0" fontId="26" fillId="0" borderId="19" xfId="0" applyFont="1" applyBorder="1" applyAlignment="1">
      <alignment horizontal="center" vertical="center" shrinkToFit="1"/>
    </xf>
    <xf numFmtId="0" fontId="26" fillId="0" borderId="20" xfId="0" applyFont="1" applyBorder="1" applyAlignment="1">
      <alignment horizontal="center" vertical="center" shrinkToFit="1"/>
    </xf>
    <xf numFmtId="0" fontId="26" fillId="0" borderId="21" xfId="0" applyFont="1" applyBorder="1" applyAlignment="1">
      <alignment horizontal="center" vertical="center" shrinkToFit="1"/>
    </xf>
    <xf numFmtId="0" fontId="26" fillId="0" borderId="10" xfId="0" applyFont="1" applyBorder="1" applyAlignment="1">
      <alignment vertical="center" wrapText="1"/>
    </xf>
    <xf numFmtId="0" fontId="30" fillId="0" borderId="12" xfId="0" applyFont="1" applyBorder="1" applyAlignment="1">
      <alignment horizontal="center" vertical="center"/>
    </xf>
    <xf numFmtId="0" fontId="28" fillId="0" borderId="22" xfId="0" applyFont="1" applyBorder="1" applyAlignment="1" applyProtection="1">
      <alignment horizontal="center" vertical="center"/>
      <protection locked="0"/>
    </xf>
    <xf numFmtId="0" fontId="30" fillId="0" borderId="0" xfId="0" applyFont="1" applyAlignment="1">
      <alignment horizontal="center" vertical="center"/>
    </xf>
    <xf numFmtId="165" fontId="30" fillId="23" borderId="0" xfId="0" applyNumberFormat="1" applyFont="1" applyFill="1" applyAlignment="1">
      <alignment horizontal="center" vertical="center"/>
    </xf>
    <xf numFmtId="165" fontId="30" fillId="0" borderId="0" xfId="0" applyNumberFormat="1" applyFont="1" applyAlignment="1">
      <alignment horizontal="center" vertical="center"/>
    </xf>
    <xf numFmtId="1" fontId="30" fillId="24" borderId="0" xfId="0" applyNumberFormat="1" applyFont="1" applyFill="1" applyAlignment="1">
      <alignment horizontal="center" vertical="center"/>
    </xf>
    <xf numFmtId="9" fontId="30" fillId="24" borderId="0" xfId="40" applyFont="1" applyFill="1" applyBorder="1" applyAlignment="1" applyProtection="1">
      <alignment horizontal="center" vertical="center"/>
    </xf>
    <xf numFmtId="1" fontId="30" fillId="0" borderId="0" xfId="0" applyNumberFormat="1" applyFont="1" applyAlignment="1">
      <alignment horizontal="center" vertical="center"/>
    </xf>
    <xf numFmtId="0" fontId="26" fillId="26" borderId="10" xfId="0" applyFont="1" applyFill="1" applyBorder="1" applyAlignment="1">
      <alignment horizontal="left" vertical="center"/>
    </xf>
    <xf numFmtId="0" fontId="29" fillId="22" borderId="14" xfId="0" applyFont="1" applyFill="1" applyBorder="1" applyAlignment="1">
      <alignment vertical="center" wrapText="1"/>
    </xf>
    <xf numFmtId="0" fontId="29" fillId="22" borderId="10" xfId="0" applyFont="1" applyFill="1" applyBorder="1" applyAlignment="1">
      <alignment vertical="center" wrapText="1"/>
    </xf>
    <xf numFmtId="0" fontId="40" fillId="27" borderId="0" xfId="0" applyFont="1" applyFill="1" applyAlignment="1">
      <alignment wrapText="1"/>
    </xf>
    <xf numFmtId="0" fontId="30" fillId="0" borderId="12" xfId="0" applyFont="1" applyBorder="1" applyAlignment="1">
      <alignment vertical="center" wrapText="1"/>
    </xf>
    <xf numFmtId="0" fontId="31" fillId="0" borderId="10" xfId="0" applyFont="1" applyBorder="1" applyAlignment="1">
      <alignment vertical="center" wrapText="1"/>
    </xf>
    <xf numFmtId="0" fontId="28" fillId="22" borderId="0" xfId="0" applyFont="1" applyFill="1" applyAlignment="1">
      <alignment vertical="center" wrapText="1"/>
    </xf>
    <xf numFmtId="0" fontId="26" fillId="22" borderId="0" xfId="0" applyFont="1" applyFill="1" applyAlignment="1">
      <alignment vertical="center" wrapText="1"/>
    </xf>
    <xf numFmtId="0" fontId="39" fillId="20" borderId="11" xfId="0" applyFont="1" applyFill="1" applyBorder="1" applyAlignment="1">
      <alignment vertical="center" wrapText="1"/>
    </xf>
    <xf numFmtId="0" fontId="30" fillId="0" borderId="12" xfId="0" applyFont="1" applyBorder="1" applyAlignment="1">
      <alignment horizontal="left" vertical="center" wrapText="1"/>
    </xf>
    <xf numFmtId="0" fontId="0" fillId="0" borderId="0" xfId="0" applyAlignment="1">
      <alignment wrapText="1"/>
    </xf>
    <xf numFmtId="0" fontId="26" fillId="0" borderId="14" xfId="0" applyFont="1" applyBorder="1" applyAlignment="1">
      <alignment horizontal="left" vertical="center"/>
    </xf>
    <xf numFmtId="0" fontId="31" fillId="0" borderId="14" xfId="0" applyFont="1" applyBorder="1" applyAlignment="1">
      <alignment vertical="center" wrapText="1"/>
    </xf>
    <xf numFmtId="0" fontId="31" fillId="0" borderId="14" xfId="0" applyFont="1" applyBorder="1" applyAlignment="1">
      <alignment vertical="center"/>
    </xf>
    <xf numFmtId="0" fontId="26" fillId="0" borderId="14" xfId="0" applyFont="1" applyBorder="1" applyAlignment="1">
      <alignment horizontal="center" vertical="center"/>
    </xf>
    <xf numFmtId="0" fontId="31" fillId="0" borderId="14" xfId="0" applyFont="1" applyBorder="1" applyAlignment="1">
      <alignment horizontal="center" vertical="center"/>
    </xf>
    <xf numFmtId="1" fontId="26" fillId="0" borderId="14" xfId="40" applyNumberFormat="1" applyFont="1" applyFill="1" applyBorder="1" applyAlignment="1" applyProtection="1">
      <alignment horizontal="center" vertical="center"/>
    </xf>
    <xf numFmtId="9" fontId="26" fillId="0" borderId="14" xfId="40" applyFont="1" applyFill="1" applyBorder="1" applyAlignment="1" applyProtection="1">
      <alignment horizontal="center" vertical="center"/>
    </xf>
    <xf numFmtId="1" fontId="26" fillId="0" borderId="14" xfId="0" applyNumberFormat="1" applyFont="1" applyBorder="1" applyAlignment="1">
      <alignment horizontal="center" vertical="center"/>
    </xf>
    <xf numFmtId="0" fontId="26" fillId="0" borderId="23" xfId="0" applyFont="1" applyBorder="1" applyAlignment="1">
      <alignment horizontal="left" vertical="center"/>
    </xf>
    <xf numFmtId="0" fontId="0" fillId="0" borderId="24" xfId="0" applyBorder="1"/>
    <xf numFmtId="0" fontId="1" fillId="0" borderId="24" xfId="0" applyFont="1" applyBorder="1"/>
    <xf numFmtId="0" fontId="26" fillId="22" borderId="25" xfId="0" applyFont="1" applyFill="1" applyBorder="1" applyAlignment="1">
      <alignment vertical="center"/>
    </xf>
    <xf numFmtId="0" fontId="26" fillId="0" borderId="25" xfId="0" applyFont="1" applyBorder="1" applyAlignment="1">
      <alignment vertical="center"/>
    </xf>
    <xf numFmtId="0" fontId="26" fillId="0" borderId="24" xfId="0" applyFont="1" applyBorder="1" applyAlignment="1">
      <alignment vertical="center"/>
    </xf>
    <xf numFmtId="0" fontId="34" fillId="0" borderId="24" xfId="0" applyFont="1" applyBorder="1" applyAlignment="1">
      <alignment vertical="center"/>
    </xf>
    <xf numFmtId="0" fontId="26" fillId="24" borderId="10" xfId="0" applyFont="1" applyFill="1" applyBorder="1" applyAlignment="1">
      <alignment horizontal="left" vertical="center"/>
    </xf>
    <xf numFmtId="0" fontId="26" fillId="28" borderId="10" xfId="0" applyFont="1" applyFill="1" applyBorder="1" applyAlignment="1">
      <alignment horizontal="left" vertical="center"/>
    </xf>
    <xf numFmtId="0" fontId="26" fillId="29" borderId="10" xfId="0" applyFont="1" applyFill="1" applyBorder="1" applyAlignment="1">
      <alignment horizontal="left" vertical="center"/>
    </xf>
    <xf numFmtId="0" fontId="29" fillId="0" borderId="14" xfId="0" applyFont="1" applyBorder="1" applyAlignment="1">
      <alignment horizontal="left" vertical="center"/>
    </xf>
    <xf numFmtId="0" fontId="26" fillId="0" borderId="0" xfId="0" applyFont="1" applyAlignment="1">
      <alignment horizontal="left" vertical="center"/>
    </xf>
    <xf numFmtId="0" fontId="32" fillId="0" borderId="0" xfId="0" applyFont="1" applyAlignment="1">
      <alignment vertical="center"/>
    </xf>
    <xf numFmtId="0" fontId="30" fillId="0" borderId="0" xfId="0" applyFont="1" applyAlignment="1">
      <alignment vertical="center"/>
    </xf>
    <xf numFmtId="0" fontId="29" fillId="0" borderId="0" xfId="0" applyFont="1" applyAlignment="1">
      <alignment horizontal="left" vertical="center"/>
    </xf>
    <xf numFmtId="0" fontId="26" fillId="0" borderId="23" xfId="0" applyFont="1" applyBorder="1" applyAlignment="1">
      <alignment vertical="center"/>
    </xf>
    <xf numFmtId="0" fontId="30" fillId="0" borderId="23" xfId="0" applyFont="1" applyBorder="1" applyAlignment="1">
      <alignment horizontal="center" vertical="center"/>
    </xf>
    <xf numFmtId="165" fontId="30" fillId="23" borderId="23" xfId="0" applyNumberFormat="1" applyFont="1" applyFill="1" applyBorder="1" applyAlignment="1">
      <alignment horizontal="center" vertical="center"/>
    </xf>
    <xf numFmtId="165" fontId="30" fillId="0" borderId="23" xfId="0" applyNumberFormat="1" applyFont="1" applyBorder="1" applyAlignment="1">
      <alignment horizontal="center" vertical="center"/>
    </xf>
    <xf numFmtId="1" fontId="30" fillId="24" borderId="23" xfId="0" applyNumberFormat="1" applyFont="1" applyFill="1" applyBorder="1" applyAlignment="1">
      <alignment horizontal="center" vertical="center"/>
    </xf>
    <xf numFmtId="9" fontId="30" fillId="24" borderId="23" xfId="40" applyFont="1" applyFill="1" applyBorder="1" applyAlignment="1" applyProtection="1">
      <alignment horizontal="center" vertical="center"/>
    </xf>
    <xf numFmtId="1" fontId="30" fillId="0" borderId="23" xfId="0" applyNumberFormat="1" applyFont="1" applyBorder="1" applyAlignment="1">
      <alignment horizontal="center" vertical="center"/>
    </xf>
    <xf numFmtId="0" fontId="26" fillId="0" borderId="26" xfId="0" applyFont="1" applyBorder="1" applyAlignment="1">
      <alignment vertical="center"/>
    </xf>
    <xf numFmtId="0" fontId="26" fillId="29" borderId="23" xfId="0" applyFont="1" applyFill="1" applyBorder="1" applyAlignment="1">
      <alignment horizontal="left" vertical="center"/>
    </xf>
    <xf numFmtId="0" fontId="41" fillId="0" borderId="12" xfId="34" applyFont="1" applyBorder="1" applyAlignment="1" applyProtection="1">
      <alignment vertical="center" wrapText="1"/>
    </xf>
    <xf numFmtId="0" fontId="26" fillId="26" borderId="14" xfId="0" applyFont="1" applyFill="1" applyBorder="1" applyAlignment="1">
      <alignment horizontal="left" vertical="center"/>
    </xf>
    <xf numFmtId="0" fontId="30" fillId="0" borderId="0" xfId="0" applyFont="1" applyAlignment="1">
      <alignment horizontal="left" vertical="center" wrapText="1"/>
    </xf>
    <xf numFmtId="0" fontId="26" fillId="0" borderId="27" xfId="0" applyFont="1" applyBorder="1" applyAlignment="1">
      <alignment vertical="center"/>
    </xf>
    <xf numFmtId="0" fontId="26" fillId="0" borderId="27" xfId="0" applyFont="1" applyBorder="1" applyAlignment="1">
      <alignment horizontal="left" vertical="center"/>
    </xf>
    <xf numFmtId="0" fontId="26" fillId="0" borderId="28" xfId="0" applyFont="1" applyBorder="1" applyAlignment="1">
      <alignment vertical="center"/>
    </xf>
    <xf numFmtId="0" fontId="26" fillId="30" borderId="10" xfId="0" applyFont="1" applyFill="1" applyBorder="1" applyAlignment="1">
      <alignment horizontal="left" vertical="center"/>
    </xf>
    <xf numFmtId="0" fontId="29" fillId="0" borderId="29" xfId="0" applyFont="1" applyBorder="1" applyAlignment="1">
      <alignment horizontal="left" vertical="center"/>
    </xf>
    <xf numFmtId="0" fontId="26" fillId="29" borderId="27" xfId="0" applyFont="1" applyFill="1" applyBorder="1" applyAlignment="1">
      <alignment horizontal="left" vertical="center"/>
    </xf>
    <xf numFmtId="0" fontId="2" fillId="0" borderId="12" xfId="34" applyBorder="1" applyAlignment="1" applyProtection="1">
      <alignment vertical="center" wrapText="1"/>
    </xf>
    <xf numFmtId="0" fontId="42" fillId="25" borderId="10" xfId="0" applyFont="1" applyFill="1" applyBorder="1" applyAlignment="1">
      <alignment vertical="center" wrapText="1"/>
    </xf>
    <xf numFmtId="0" fontId="43" fillId="0" borderId="12" xfId="0" applyFont="1" applyBorder="1" applyAlignment="1">
      <alignment vertical="center" wrapText="1"/>
    </xf>
    <xf numFmtId="0" fontId="35" fillId="0" borderId="16" xfId="0" applyFont="1" applyBorder="1" applyAlignment="1">
      <alignment horizontal="center" vertical="center"/>
    </xf>
    <xf numFmtId="0" fontId="35" fillId="0" borderId="13" xfId="0" applyFont="1" applyBorder="1" applyAlignment="1">
      <alignment horizontal="center" vertical="center"/>
    </xf>
    <xf numFmtId="0" fontId="35" fillId="0" borderId="17" xfId="0" applyFont="1" applyBorder="1" applyAlignment="1">
      <alignment horizontal="center" vertical="center"/>
    </xf>
    <xf numFmtId="167" fontId="28" fillId="0" borderId="16" xfId="0" applyNumberFormat="1" applyFont="1" applyBorder="1" applyAlignment="1">
      <alignment horizontal="center" vertical="center"/>
    </xf>
    <xf numFmtId="167" fontId="28" fillId="0" borderId="13" xfId="0" applyNumberFormat="1" applyFont="1" applyBorder="1" applyAlignment="1">
      <alignment horizontal="center" vertical="center"/>
    </xf>
    <xf numFmtId="167" fontId="28" fillId="0" borderId="17" xfId="0" applyNumberFormat="1" applyFont="1" applyBorder="1" applyAlignment="1">
      <alignment horizontal="center" vertical="center"/>
    </xf>
    <xf numFmtId="164" fontId="28" fillId="0" borderId="15" xfId="0" applyNumberFormat="1" applyFont="1" applyBorder="1" applyAlignment="1" applyProtection="1">
      <alignment horizontal="center" vertical="center" shrinkToFit="1"/>
      <protection locked="0"/>
    </xf>
    <xf numFmtId="164" fontId="28" fillId="0" borderId="22" xfId="0" applyNumberFormat="1" applyFont="1" applyBorder="1" applyAlignment="1" applyProtection="1">
      <alignment horizontal="center" vertical="center" shrinkToFit="1"/>
      <protection locked="0"/>
    </xf>
  </cellXfs>
  <cellStyles count="4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te" xfId="38" builtinId="10" customBuiltin="1"/>
    <cellStyle name="Output" xfId="39" builtinId="21" customBuiltin="1"/>
    <cellStyle name="Percent" xfId="40" builtinId="5"/>
    <cellStyle name="Title" xfId="41" builtinId="15" customBuiltin="1"/>
    <cellStyle name="Total" xfId="42" builtinId="25" customBuiltin="1"/>
    <cellStyle name="Warning Text" xfId="43" builtinId="11" customBuiltin="1"/>
  </cellStyles>
  <dxfs count="6">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99FF99"/>
      <rgbColor rgb="000000FF"/>
      <rgbColor rgb="00FFFF00"/>
      <rgbColor rgb="00DE3018"/>
      <rgbColor rgb="0053D4C9"/>
      <rgbColor rgb="006B0C00"/>
      <rgbColor rgb="00006500"/>
      <rgbColor rgb="00182C63"/>
      <rgbColor rgb="00819C00"/>
      <rgbColor rgb="00C9B783"/>
      <rgbColor rgb="00007F74"/>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6699FF"/>
      <rgbColor rgb="00CCECFF"/>
      <rgbColor rgb="00D6F4D9"/>
      <rgbColor rgb="00FFFFCC"/>
      <rgbColor rgb="0099CCFF"/>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F7F7B9"/>
      <color rgb="FFFFCCCC"/>
      <color rgb="FFFF9900"/>
      <color rgb="FF91D0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21</xdr:col>
      <xdr:colOff>7204</xdr:colOff>
      <xdr:row>17</xdr:row>
      <xdr:rowOff>173355</xdr:rowOff>
    </xdr:from>
    <xdr:to>
      <xdr:col>42</xdr:col>
      <xdr:colOff>33874</xdr:colOff>
      <xdr:row>48</xdr:row>
      <xdr:rowOff>22860</xdr:rowOff>
    </xdr:to>
    <xdr:sp macro="" textlink="">
      <xdr:nvSpPr>
        <xdr:cNvPr id="8236" name="Text Box 44" hidden="1">
          <a:extLst>
            <a:ext uri="{FF2B5EF4-FFF2-40B4-BE49-F238E27FC236}">
              <a16:creationId xmlns:a16="http://schemas.microsoft.com/office/drawing/2014/main" id="{00000000-0008-0000-0000-00002C200000}"/>
            </a:ext>
          </a:extLst>
        </xdr:cNvPr>
        <xdr:cNvSpPr txBox="1">
          <a:spLocks noChangeArrowheads="1"/>
        </xdr:cNvSpPr>
      </xdr:nvSpPr>
      <xdr:spPr bwMode="auto">
        <a:xfrm>
          <a:off x="4953000" y="1371600"/>
          <a:ext cx="3419475" cy="11049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theme/theme1.xml><?xml version="1.0" encoding="utf-8"?>
<a:theme xmlns:a="http://schemas.openxmlformats.org/drawingml/2006/main" name="Office Theme">
  <a:themeElements>
    <a:clrScheme name="v42-Gantt">
      <a:dk1>
        <a:sysClr val="windowText" lastClr="000000"/>
      </a:dk1>
      <a:lt1>
        <a:sysClr val="window" lastClr="FFFFFF"/>
      </a:lt1>
      <a:dk2>
        <a:srgbClr val="3B8741"/>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youtu.be/gieEQFIfgYc" TargetMode="External"/><Relationship Id="rId13" Type="http://schemas.openxmlformats.org/officeDocument/2006/relationships/vmlDrawing" Target="../drawings/vmlDrawing1.vml"/><Relationship Id="rId3" Type="http://schemas.openxmlformats.org/officeDocument/2006/relationships/hyperlink" Target="https://youtu.be/FKtw0dEb9wA" TargetMode="External"/><Relationship Id="rId7" Type="http://schemas.openxmlformats.org/officeDocument/2006/relationships/hyperlink" Target="https://youtu.be/qANodUksDg8" TargetMode="External"/><Relationship Id="rId12" Type="http://schemas.openxmlformats.org/officeDocument/2006/relationships/drawing" Target="../drawings/drawing1.xml"/><Relationship Id="rId2" Type="http://schemas.openxmlformats.org/officeDocument/2006/relationships/hyperlink" Target="https://youtu.be/gc7wKr0XkN8" TargetMode="External"/><Relationship Id="rId1" Type="http://schemas.openxmlformats.org/officeDocument/2006/relationships/hyperlink" Target="https://www.youtube.com/watch?v=2IK3DFHRFfw" TargetMode="External"/><Relationship Id="rId6" Type="http://schemas.openxmlformats.org/officeDocument/2006/relationships/hyperlink" Target="https://youtu.be/J0NuOlA2xDc" TargetMode="External"/><Relationship Id="rId11" Type="http://schemas.openxmlformats.org/officeDocument/2006/relationships/printerSettings" Target="../printerSettings/printerSettings1.bin"/><Relationship Id="rId5" Type="http://schemas.openxmlformats.org/officeDocument/2006/relationships/hyperlink" Target="https://youtu.be/Gjnup-PuquQ" TargetMode="External"/><Relationship Id="rId10" Type="http://schemas.openxmlformats.org/officeDocument/2006/relationships/hyperlink" Target="https://youtu.be/YSePP8SMv78" TargetMode="External"/><Relationship Id="rId4" Type="http://schemas.openxmlformats.org/officeDocument/2006/relationships/hyperlink" Target="https://youtu.be/v0aMnIqRfAg" TargetMode="External"/><Relationship Id="rId9" Type="http://schemas.openxmlformats.org/officeDocument/2006/relationships/hyperlink" Target="https://youtu.be/rIrNIzy6U_g" TargetMode="External"/><Relationship Id="rId1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outlinePr summaryBelow="0" summaryRight="0"/>
    <pageSetUpPr fitToPage="1"/>
  </sheetPr>
  <dimension ref="A1:JG140"/>
  <sheetViews>
    <sheetView showGridLines="0" tabSelected="1" zoomScaleNormal="100" workbookViewId="0">
      <pane xSplit="10" ySplit="4" topLeftCell="K5" activePane="bottomRight" state="frozen"/>
      <selection pane="topRight" activeCell="K1" sqref="K1"/>
      <selection pane="bottomLeft" activeCell="A6" sqref="A6"/>
      <selection pane="bottomRight" activeCell="C58" sqref="C58"/>
    </sheetView>
  </sheetViews>
  <sheetFormatPr defaultColWidth="9.109375" defaultRowHeight="13.2" outlineLevelRow="1" x14ac:dyDescent="0.25"/>
  <cols>
    <col min="1" max="1" width="8.109375" customWidth="1"/>
    <col min="2" max="2" width="3.109375" customWidth="1"/>
    <col min="3" max="3" width="36" customWidth="1"/>
    <col min="4" max="4" width="9.33203125" hidden="1" customWidth="1"/>
    <col min="5" max="5" width="8.6640625" hidden="1" customWidth="1"/>
    <col min="6" max="7" width="12" hidden="1" customWidth="1"/>
    <col min="8" max="8" width="6" hidden="1" customWidth="1"/>
    <col min="9" max="9" width="6.6640625" hidden="1" customWidth="1"/>
    <col min="10" max="10" width="6.44140625" hidden="1" customWidth="1"/>
    <col min="11" max="262" width="2.44140625" customWidth="1"/>
    <col min="267" max="267" width="9.109375" style="85"/>
  </cols>
  <sheetData>
    <row r="1" spans="1:267" ht="17.25" customHeight="1" x14ac:dyDescent="0.25">
      <c r="A1" s="46"/>
      <c r="B1" s="46"/>
      <c r="C1" s="47" t="s">
        <v>18</v>
      </c>
      <c r="D1" s="127">
        <v>45336</v>
      </c>
      <c r="E1" s="127"/>
      <c r="F1" s="127"/>
      <c r="G1" s="46"/>
      <c r="H1" s="47" t="s">
        <v>17</v>
      </c>
      <c r="I1" s="58">
        <v>1</v>
      </c>
      <c r="J1" s="1"/>
      <c r="K1" s="120" t="str">
        <f>"Week "&amp;(K3-($D$1-WEEKDAY($D$1,1)+2))/7+1</f>
        <v>Week 1</v>
      </c>
      <c r="L1" s="121"/>
      <c r="M1" s="121"/>
      <c r="N1" s="121"/>
      <c r="O1" s="121"/>
      <c r="P1" s="121"/>
      <c r="Q1" s="122"/>
      <c r="R1" s="120" t="str">
        <f>"Week "&amp;(R3-($D$1-WEEKDAY($D$1,1)+2))/7+1</f>
        <v>Week 2</v>
      </c>
      <c r="S1" s="121"/>
      <c r="T1" s="121"/>
      <c r="U1" s="121"/>
      <c r="V1" s="121"/>
      <c r="W1" s="121"/>
      <c r="X1" s="122"/>
      <c r="Y1" s="120" t="str">
        <f>"Week "&amp;(Y3-($D$1-WEEKDAY($D$1,1)+2))/7+1</f>
        <v>Week 3</v>
      </c>
      <c r="Z1" s="121"/>
      <c r="AA1" s="121"/>
      <c r="AB1" s="121"/>
      <c r="AC1" s="121"/>
      <c r="AD1" s="121"/>
      <c r="AE1" s="122"/>
      <c r="AF1" s="120" t="str">
        <f>"Week "&amp;(AF3-($D$1-WEEKDAY($D$1,1)+2))/7+1</f>
        <v>Week 4</v>
      </c>
      <c r="AG1" s="121"/>
      <c r="AH1" s="121"/>
      <c r="AI1" s="121"/>
      <c r="AJ1" s="121"/>
      <c r="AK1" s="121"/>
      <c r="AL1" s="122"/>
      <c r="AM1" s="120" t="str">
        <f>"Week "&amp;(AM3-($D$1-WEEKDAY($D$1,1)+2))/7+1</f>
        <v>Week 5</v>
      </c>
      <c r="AN1" s="121"/>
      <c r="AO1" s="121"/>
      <c r="AP1" s="121"/>
      <c r="AQ1" s="121"/>
      <c r="AR1" s="121"/>
      <c r="AS1" s="122"/>
      <c r="AT1" s="120" t="str">
        <f>"Week "&amp;(AT3-($D$1-WEEKDAY($D$1,1)+2))/7+1</f>
        <v>Week 6</v>
      </c>
      <c r="AU1" s="121"/>
      <c r="AV1" s="121"/>
      <c r="AW1" s="121"/>
      <c r="AX1" s="121"/>
      <c r="AY1" s="121"/>
      <c r="AZ1" s="122"/>
      <c r="BA1" s="120" t="str">
        <f>"Week "&amp;(BA3-($D$1-WEEKDAY($D$1,1)+2))/7+1</f>
        <v>Week 7</v>
      </c>
      <c r="BB1" s="121"/>
      <c r="BC1" s="121"/>
      <c r="BD1" s="121"/>
      <c r="BE1" s="121"/>
      <c r="BF1" s="121"/>
      <c r="BG1" s="122"/>
      <c r="BH1" s="120" t="str">
        <f>"Week "&amp;(BH3-($D$1-WEEKDAY($D$1,1)+2))/7+1</f>
        <v>Week 8</v>
      </c>
      <c r="BI1" s="121"/>
      <c r="BJ1" s="121"/>
      <c r="BK1" s="121"/>
      <c r="BL1" s="121"/>
      <c r="BM1" s="121"/>
      <c r="BN1" s="122"/>
      <c r="BO1" s="120" t="str">
        <f>"Week "&amp;(BO3-($D$1-WEEKDAY($D$1,1)+2))/7+1</f>
        <v>Week 9</v>
      </c>
      <c r="BP1" s="121"/>
      <c r="BQ1" s="121"/>
      <c r="BR1" s="121"/>
      <c r="BS1" s="121"/>
      <c r="BT1" s="121"/>
      <c r="BU1" s="122"/>
      <c r="BV1" s="120" t="str">
        <f>"Week "&amp;(BV3-($D$1-WEEKDAY($D$1,1)+2))/7+1</f>
        <v>Week 10</v>
      </c>
      <c r="BW1" s="121"/>
      <c r="BX1" s="121"/>
      <c r="BY1" s="121"/>
      <c r="BZ1" s="121"/>
      <c r="CA1" s="121"/>
      <c r="CB1" s="122"/>
      <c r="CC1" s="120" t="str">
        <f>"Week "&amp;(CC3-($D$1-WEEKDAY($D$1,1)+2))/7+1</f>
        <v>Week 11</v>
      </c>
      <c r="CD1" s="121"/>
      <c r="CE1" s="121"/>
      <c r="CF1" s="121"/>
      <c r="CG1" s="121"/>
      <c r="CH1" s="121"/>
      <c r="CI1" s="122"/>
      <c r="CJ1" s="120" t="str">
        <f>"Week "&amp;(CJ3-($D$1-WEEKDAY($D$1,1)+2))/7+1</f>
        <v>Week 12</v>
      </c>
      <c r="CK1" s="121"/>
      <c r="CL1" s="121"/>
      <c r="CM1" s="121"/>
      <c r="CN1" s="121"/>
      <c r="CO1" s="121"/>
      <c r="CP1" s="122"/>
      <c r="CQ1" s="120" t="str">
        <f>"Week "&amp;(CQ3-($D$1-WEEKDAY($D$1,1)+2))/7+1</f>
        <v>Week 13</v>
      </c>
      <c r="CR1" s="121"/>
      <c r="CS1" s="121"/>
      <c r="CT1" s="121"/>
      <c r="CU1" s="121"/>
      <c r="CV1" s="121"/>
      <c r="CW1" s="122"/>
      <c r="CX1" s="120" t="str">
        <f>"Week "&amp;(CX3-($D$1-WEEKDAY($D$1,1)+2))/7+1</f>
        <v>Week 14</v>
      </c>
      <c r="CY1" s="121"/>
      <c r="CZ1" s="121"/>
      <c r="DA1" s="121"/>
      <c r="DB1" s="121"/>
      <c r="DC1" s="121"/>
      <c r="DD1" s="122"/>
      <c r="DE1" s="120" t="str">
        <f>"Week "&amp;(DE3-($D$1-WEEKDAY($D$1,1)+2))/7+1</f>
        <v>Week 15</v>
      </c>
      <c r="DF1" s="121"/>
      <c r="DG1" s="121"/>
      <c r="DH1" s="121"/>
      <c r="DI1" s="121"/>
      <c r="DJ1" s="121"/>
      <c r="DK1" s="122"/>
      <c r="DL1" s="120" t="str">
        <f>"Week "&amp;(DL3-($D$1-WEEKDAY($D$1,1)+2))/7+1</f>
        <v>Week 16</v>
      </c>
      <c r="DM1" s="121"/>
      <c r="DN1" s="121"/>
      <c r="DO1" s="121"/>
      <c r="DP1" s="121"/>
      <c r="DQ1" s="121"/>
      <c r="DR1" s="122"/>
      <c r="DS1" s="120" t="str">
        <f>"Week "&amp;(DS3-($D$1-WEEKDAY($D$1,1)+2))/7+1</f>
        <v>Week 17</v>
      </c>
      <c r="DT1" s="121"/>
      <c r="DU1" s="121"/>
      <c r="DV1" s="121"/>
      <c r="DW1" s="121"/>
      <c r="DX1" s="121"/>
      <c r="DY1" s="122"/>
      <c r="DZ1" s="120" t="str">
        <f>"Week "&amp;(DZ3-($D$1-WEEKDAY($D$1,1)+2))/7+1</f>
        <v>Week 18</v>
      </c>
      <c r="EA1" s="121"/>
      <c r="EB1" s="121"/>
      <c r="EC1" s="121"/>
      <c r="ED1" s="121"/>
      <c r="EE1" s="121"/>
      <c r="EF1" s="122"/>
      <c r="EG1" s="120" t="str">
        <f>"Week "&amp;(EG3-($D$1-WEEKDAY($D$1,1)+2))/7+1</f>
        <v>Week 19</v>
      </c>
      <c r="EH1" s="121"/>
      <c r="EI1" s="121"/>
      <c r="EJ1" s="121"/>
      <c r="EK1" s="121"/>
      <c r="EL1" s="121"/>
      <c r="EM1" s="122"/>
      <c r="EN1" s="120" t="str">
        <f>"Week "&amp;(EN3-($D$1-WEEKDAY($D$1,1)+2))/7+1</f>
        <v>Week 20</v>
      </c>
      <c r="EO1" s="121"/>
      <c r="EP1" s="121"/>
      <c r="EQ1" s="121"/>
      <c r="ER1" s="121"/>
      <c r="ES1" s="121"/>
      <c r="ET1" s="122"/>
      <c r="EU1" s="120" t="str">
        <f>"Week "&amp;(EU3-($D$1-WEEKDAY($D$1,1)+2))/7+1</f>
        <v>Week 21</v>
      </c>
      <c r="EV1" s="121"/>
      <c r="EW1" s="121"/>
      <c r="EX1" s="121"/>
      <c r="EY1" s="121"/>
      <c r="EZ1" s="121"/>
      <c r="FA1" s="122"/>
      <c r="FB1" s="120" t="str">
        <f>"Week "&amp;(FB3-($D$1-WEEKDAY($D$1,1)+2))/7+1</f>
        <v>Week 22</v>
      </c>
      <c r="FC1" s="121"/>
      <c r="FD1" s="121"/>
      <c r="FE1" s="121"/>
      <c r="FF1" s="121"/>
      <c r="FG1" s="121"/>
      <c r="FH1" s="122"/>
      <c r="FI1" s="120" t="str">
        <f>"Week "&amp;(FI3-($D$1-WEEKDAY($D$1,1)+2))/7+1</f>
        <v>Week 23</v>
      </c>
      <c r="FJ1" s="121"/>
      <c r="FK1" s="121"/>
      <c r="FL1" s="121"/>
      <c r="FM1" s="121"/>
      <c r="FN1" s="121"/>
      <c r="FO1" s="122"/>
      <c r="FP1" s="120" t="str">
        <f>"Week "&amp;(FP3-($D$1-WEEKDAY($D$1,1)+2))/7+1</f>
        <v>Week 24</v>
      </c>
      <c r="FQ1" s="121"/>
      <c r="FR1" s="121"/>
      <c r="FS1" s="121"/>
      <c r="FT1" s="121"/>
      <c r="FU1" s="121"/>
      <c r="FV1" s="122"/>
      <c r="FW1" s="120" t="str">
        <f>"Week "&amp;(FW3-($D$1-WEEKDAY($D$1,1)+2))/7+1</f>
        <v>Week 25</v>
      </c>
      <c r="FX1" s="121"/>
      <c r="FY1" s="121"/>
      <c r="FZ1" s="121"/>
      <c r="GA1" s="121"/>
      <c r="GB1" s="121"/>
      <c r="GC1" s="122"/>
      <c r="GD1" s="120" t="str">
        <f>"Week "&amp;(GD3-($D$1-WEEKDAY($D$1,1)+2))/7+1</f>
        <v>Week 26</v>
      </c>
      <c r="GE1" s="121"/>
      <c r="GF1" s="121"/>
      <c r="GG1" s="121"/>
      <c r="GH1" s="121"/>
      <c r="GI1" s="121"/>
      <c r="GJ1" s="122"/>
      <c r="GK1" s="120" t="str">
        <f>"Week "&amp;(GK3-($D$1-WEEKDAY($D$1,1)+2))/7+1</f>
        <v>Week 27</v>
      </c>
      <c r="GL1" s="121"/>
      <c r="GM1" s="121"/>
      <c r="GN1" s="121"/>
      <c r="GO1" s="121"/>
      <c r="GP1" s="121"/>
      <c r="GQ1" s="122"/>
      <c r="GR1" s="120" t="str">
        <f>"Week "&amp;(GR3-($D$1-WEEKDAY($D$1,1)+2))/7+1</f>
        <v>Week 28</v>
      </c>
      <c r="GS1" s="121"/>
      <c r="GT1" s="121"/>
      <c r="GU1" s="121"/>
      <c r="GV1" s="121"/>
      <c r="GW1" s="121"/>
      <c r="GX1" s="122"/>
      <c r="GY1" s="120" t="str">
        <f>"Week "&amp;(GY3-($D$1-WEEKDAY($D$1,1)+2))/7+1</f>
        <v>Week 29</v>
      </c>
      <c r="GZ1" s="121"/>
      <c r="HA1" s="121"/>
      <c r="HB1" s="121"/>
      <c r="HC1" s="121"/>
      <c r="HD1" s="121"/>
      <c r="HE1" s="122"/>
      <c r="HF1" s="120" t="str">
        <f>"Week "&amp;(HF3-($D$1-WEEKDAY($D$1,1)+2))/7+1</f>
        <v>Week 30</v>
      </c>
      <c r="HG1" s="121"/>
      <c r="HH1" s="121"/>
      <c r="HI1" s="121"/>
      <c r="HJ1" s="121"/>
      <c r="HK1" s="121"/>
      <c r="HL1" s="122"/>
      <c r="HM1" s="120" t="str">
        <f>"Week "&amp;(HM3-($D$1-WEEKDAY($D$1,1)+2))/7+1</f>
        <v>Week 31</v>
      </c>
      <c r="HN1" s="121"/>
      <c r="HO1" s="121"/>
      <c r="HP1" s="121"/>
      <c r="HQ1" s="121"/>
      <c r="HR1" s="121"/>
      <c r="HS1" s="122"/>
      <c r="HT1" s="120" t="str">
        <f>"Week "&amp;(HT3-($D$1-WEEKDAY($D$1,1)+2))/7+1</f>
        <v>Week 32</v>
      </c>
      <c r="HU1" s="121"/>
      <c r="HV1" s="121"/>
      <c r="HW1" s="121"/>
      <c r="HX1" s="121"/>
      <c r="HY1" s="121"/>
      <c r="HZ1" s="122"/>
      <c r="IA1" s="120" t="str">
        <f>"Week "&amp;(IA3-($D$1-WEEKDAY($D$1,1)+2))/7+1</f>
        <v>Week 33</v>
      </c>
      <c r="IB1" s="121"/>
      <c r="IC1" s="121"/>
      <c r="ID1" s="121"/>
      <c r="IE1" s="121"/>
      <c r="IF1" s="121"/>
      <c r="IG1" s="122"/>
      <c r="IH1" s="120" t="str">
        <f>"Week "&amp;(IH3-($D$1-WEEKDAY($D$1,1)+2))/7+1</f>
        <v>Week 34</v>
      </c>
      <c r="II1" s="121"/>
      <c r="IJ1" s="121"/>
      <c r="IK1" s="121"/>
      <c r="IL1" s="121"/>
      <c r="IM1" s="121"/>
      <c r="IN1" s="122"/>
      <c r="IO1" s="120" t="str">
        <f>"Week "&amp;(IO3-($D$1-WEEKDAY($D$1,1)+2))/7+1</f>
        <v>Week 35</v>
      </c>
      <c r="IP1" s="121"/>
      <c r="IQ1" s="121"/>
      <c r="IR1" s="121"/>
      <c r="IS1" s="121"/>
      <c r="IT1" s="121"/>
      <c r="IU1" s="122"/>
      <c r="IV1" s="120" t="str">
        <f>"Week "&amp;(IV3-($D$1-WEEKDAY($D$1,1)+2))/7+1</f>
        <v>Week 36</v>
      </c>
      <c r="IW1" s="121"/>
      <c r="IX1" s="121"/>
      <c r="IY1" s="121"/>
      <c r="IZ1" s="121"/>
      <c r="JA1" s="121"/>
      <c r="JB1" s="122"/>
    </row>
    <row r="2" spans="1:267" ht="17.25" customHeight="1" x14ac:dyDescent="0.25">
      <c r="A2" s="46"/>
      <c r="B2" s="46"/>
      <c r="C2" s="47" t="s">
        <v>19</v>
      </c>
      <c r="D2" s="126"/>
      <c r="E2" s="126"/>
      <c r="F2" s="126"/>
      <c r="G2" s="46"/>
      <c r="H2" s="46"/>
      <c r="I2" s="46"/>
      <c r="J2" s="46"/>
      <c r="K2" s="123">
        <f>K3</f>
        <v>45334</v>
      </c>
      <c r="L2" s="124"/>
      <c r="M2" s="124"/>
      <c r="N2" s="124"/>
      <c r="O2" s="124"/>
      <c r="P2" s="124"/>
      <c r="Q2" s="125"/>
      <c r="R2" s="123">
        <f>R3</f>
        <v>45341</v>
      </c>
      <c r="S2" s="124"/>
      <c r="T2" s="124"/>
      <c r="U2" s="124"/>
      <c r="V2" s="124"/>
      <c r="W2" s="124"/>
      <c r="X2" s="125"/>
      <c r="Y2" s="123">
        <f>Y3</f>
        <v>45348</v>
      </c>
      <c r="Z2" s="124"/>
      <c r="AA2" s="124"/>
      <c r="AB2" s="124"/>
      <c r="AC2" s="124"/>
      <c r="AD2" s="124"/>
      <c r="AE2" s="125"/>
      <c r="AF2" s="123">
        <f>AF3</f>
        <v>45355</v>
      </c>
      <c r="AG2" s="124"/>
      <c r="AH2" s="124"/>
      <c r="AI2" s="124"/>
      <c r="AJ2" s="124"/>
      <c r="AK2" s="124"/>
      <c r="AL2" s="125"/>
      <c r="AM2" s="123">
        <f>AM3</f>
        <v>45362</v>
      </c>
      <c r="AN2" s="124"/>
      <c r="AO2" s="124"/>
      <c r="AP2" s="124"/>
      <c r="AQ2" s="124"/>
      <c r="AR2" s="124"/>
      <c r="AS2" s="125"/>
      <c r="AT2" s="123">
        <f>AT3</f>
        <v>45369</v>
      </c>
      <c r="AU2" s="124"/>
      <c r="AV2" s="124"/>
      <c r="AW2" s="124"/>
      <c r="AX2" s="124"/>
      <c r="AY2" s="124"/>
      <c r="AZ2" s="125"/>
      <c r="BA2" s="123">
        <f>BA3</f>
        <v>45376</v>
      </c>
      <c r="BB2" s="124"/>
      <c r="BC2" s="124"/>
      <c r="BD2" s="124"/>
      <c r="BE2" s="124"/>
      <c r="BF2" s="124"/>
      <c r="BG2" s="125"/>
      <c r="BH2" s="123">
        <f>BH3</f>
        <v>45383</v>
      </c>
      <c r="BI2" s="124"/>
      <c r="BJ2" s="124"/>
      <c r="BK2" s="124"/>
      <c r="BL2" s="124"/>
      <c r="BM2" s="124"/>
      <c r="BN2" s="125"/>
      <c r="BO2" s="123">
        <f>BO3</f>
        <v>45390</v>
      </c>
      <c r="BP2" s="124"/>
      <c r="BQ2" s="124"/>
      <c r="BR2" s="124"/>
      <c r="BS2" s="124"/>
      <c r="BT2" s="124"/>
      <c r="BU2" s="125"/>
      <c r="BV2" s="123">
        <f>BV3</f>
        <v>45397</v>
      </c>
      <c r="BW2" s="124"/>
      <c r="BX2" s="124"/>
      <c r="BY2" s="124"/>
      <c r="BZ2" s="124"/>
      <c r="CA2" s="124"/>
      <c r="CB2" s="125"/>
      <c r="CC2" s="123">
        <f>CC3</f>
        <v>45404</v>
      </c>
      <c r="CD2" s="124"/>
      <c r="CE2" s="124"/>
      <c r="CF2" s="124"/>
      <c r="CG2" s="124"/>
      <c r="CH2" s="124"/>
      <c r="CI2" s="125"/>
      <c r="CJ2" s="123">
        <f>CJ3</f>
        <v>45411</v>
      </c>
      <c r="CK2" s="124"/>
      <c r="CL2" s="124"/>
      <c r="CM2" s="124"/>
      <c r="CN2" s="124"/>
      <c r="CO2" s="124"/>
      <c r="CP2" s="125"/>
      <c r="CQ2" s="123">
        <f>CQ3</f>
        <v>45418</v>
      </c>
      <c r="CR2" s="124"/>
      <c r="CS2" s="124"/>
      <c r="CT2" s="124"/>
      <c r="CU2" s="124"/>
      <c r="CV2" s="124"/>
      <c r="CW2" s="125"/>
      <c r="CX2" s="123">
        <f>CX3</f>
        <v>45425</v>
      </c>
      <c r="CY2" s="124"/>
      <c r="CZ2" s="124"/>
      <c r="DA2" s="124"/>
      <c r="DB2" s="124"/>
      <c r="DC2" s="124"/>
      <c r="DD2" s="125"/>
      <c r="DE2" s="123">
        <f>DE3</f>
        <v>45432</v>
      </c>
      <c r="DF2" s="124"/>
      <c r="DG2" s="124"/>
      <c r="DH2" s="124"/>
      <c r="DI2" s="124"/>
      <c r="DJ2" s="124"/>
      <c r="DK2" s="125"/>
      <c r="DL2" s="123">
        <f>DL3</f>
        <v>45439</v>
      </c>
      <c r="DM2" s="124"/>
      <c r="DN2" s="124"/>
      <c r="DO2" s="124"/>
      <c r="DP2" s="124"/>
      <c r="DQ2" s="124"/>
      <c r="DR2" s="125"/>
      <c r="DS2" s="123">
        <f>DS3</f>
        <v>45446</v>
      </c>
      <c r="DT2" s="124"/>
      <c r="DU2" s="124"/>
      <c r="DV2" s="124"/>
      <c r="DW2" s="124"/>
      <c r="DX2" s="124"/>
      <c r="DY2" s="125"/>
      <c r="DZ2" s="123">
        <f>DZ3</f>
        <v>45453</v>
      </c>
      <c r="EA2" s="124"/>
      <c r="EB2" s="124"/>
      <c r="EC2" s="124"/>
      <c r="ED2" s="124"/>
      <c r="EE2" s="124"/>
      <c r="EF2" s="125"/>
      <c r="EG2" s="123">
        <f>EG3</f>
        <v>45460</v>
      </c>
      <c r="EH2" s="124"/>
      <c r="EI2" s="124"/>
      <c r="EJ2" s="124"/>
      <c r="EK2" s="124"/>
      <c r="EL2" s="124"/>
      <c r="EM2" s="125"/>
      <c r="EN2" s="123">
        <f>EN3</f>
        <v>45467</v>
      </c>
      <c r="EO2" s="124"/>
      <c r="EP2" s="124"/>
      <c r="EQ2" s="124"/>
      <c r="ER2" s="124"/>
      <c r="ES2" s="124"/>
      <c r="ET2" s="125"/>
      <c r="EU2" s="123">
        <f>EU3</f>
        <v>45474</v>
      </c>
      <c r="EV2" s="124"/>
      <c r="EW2" s="124"/>
      <c r="EX2" s="124"/>
      <c r="EY2" s="124"/>
      <c r="EZ2" s="124"/>
      <c r="FA2" s="125"/>
      <c r="FB2" s="123">
        <f>FB3</f>
        <v>45481</v>
      </c>
      <c r="FC2" s="124"/>
      <c r="FD2" s="124"/>
      <c r="FE2" s="124"/>
      <c r="FF2" s="124"/>
      <c r="FG2" s="124"/>
      <c r="FH2" s="125"/>
      <c r="FI2" s="123">
        <f>FI3</f>
        <v>45488</v>
      </c>
      <c r="FJ2" s="124"/>
      <c r="FK2" s="124"/>
      <c r="FL2" s="124"/>
      <c r="FM2" s="124"/>
      <c r="FN2" s="124"/>
      <c r="FO2" s="125"/>
      <c r="FP2" s="123">
        <f>FP3</f>
        <v>45495</v>
      </c>
      <c r="FQ2" s="124"/>
      <c r="FR2" s="124"/>
      <c r="FS2" s="124"/>
      <c r="FT2" s="124"/>
      <c r="FU2" s="124"/>
      <c r="FV2" s="125"/>
      <c r="FW2" s="123">
        <f>FW3</f>
        <v>45502</v>
      </c>
      <c r="FX2" s="124"/>
      <c r="FY2" s="124"/>
      <c r="FZ2" s="124"/>
      <c r="GA2" s="124"/>
      <c r="GB2" s="124"/>
      <c r="GC2" s="125"/>
      <c r="GD2" s="123">
        <f>GD3</f>
        <v>45509</v>
      </c>
      <c r="GE2" s="124"/>
      <c r="GF2" s="124"/>
      <c r="GG2" s="124"/>
      <c r="GH2" s="124"/>
      <c r="GI2" s="124"/>
      <c r="GJ2" s="125"/>
      <c r="GK2" s="123">
        <f>GK3</f>
        <v>45516</v>
      </c>
      <c r="GL2" s="124"/>
      <c r="GM2" s="124"/>
      <c r="GN2" s="124"/>
      <c r="GO2" s="124"/>
      <c r="GP2" s="124"/>
      <c r="GQ2" s="125"/>
      <c r="GR2" s="123">
        <f>GR3</f>
        <v>45523</v>
      </c>
      <c r="GS2" s="124"/>
      <c r="GT2" s="124"/>
      <c r="GU2" s="124"/>
      <c r="GV2" s="124"/>
      <c r="GW2" s="124"/>
      <c r="GX2" s="125"/>
      <c r="GY2" s="123">
        <f>GY3</f>
        <v>45530</v>
      </c>
      <c r="GZ2" s="124"/>
      <c r="HA2" s="124"/>
      <c r="HB2" s="124"/>
      <c r="HC2" s="124"/>
      <c r="HD2" s="124"/>
      <c r="HE2" s="125"/>
      <c r="HF2" s="123">
        <f>HF3</f>
        <v>45537</v>
      </c>
      <c r="HG2" s="124"/>
      <c r="HH2" s="124"/>
      <c r="HI2" s="124"/>
      <c r="HJ2" s="124"/>
      <c r="HK2" s="124"/>
      <c r="HL2" s="125"/>
      <c r="HM2" s="123">
        <f>HM3</f>
        <v>45544</v>
      </c>
      <c r="HN2" s="124"/>
      <c r="HO2" s="124"/>
      <c r="HP2" s="124"/>
      <c r="HQ2" s="124"/>
      <c r="HR2" s="124"/>
      <c r="HS2" s="125"/>
      <c r="HT2" s="123">
        <f>HT3</f>
        <v>45551</v>
      </c>
      <c r="HU2" s="124"/>
      <c r="HV2" s="124"/>
      <c r="HW2" s="124"/>
      <c r="HX2" s="124"/>
      <c r="HY2" s="124"/>
      <c r="HZ2" s="125"/>
      <c r="IA2" s="123">
        <f>IA3</f>
        <v>45558</v>
      </c>
      <c r="IB2" s="124"/>
      <c r="IC2" s="124"/>
      <c r="ID2" s="124"/>
      <c r="IE2" s="124"/>
      <c r="IF2" s="124"/>
      <c r="IG2" s="125"/>
      <c r="IH2" s="123">
        <f>IH3</f>
        <v>45565</v>
      </c>
      <c r="II2" s="124"/>
      <c r="IJ2" s="124"/>
      <c r="IK2" s="124"/>
      <c r="IL2" s="124"/>
      <c r="IM2" s="124"/>
      <c r="IN2" s="125"/>
      <c r="IO2" s="123">
        <f>IO3</f>
        <v>45572</v>
      </c>
      <c r="IP2" s="124"/>
      <c r="IQ2" s="124"/>
      <c r="IR2" s="124"/>
      <c r="IS2" s="124"/>
      <c r="IT2" s="124"/>
      <c r="IU2" s="125"/>
      <c r="IV2" s="123">
        <f>IV3</f>
        <v>45579</v>
      </c>
      <c r="IW2" s="124"/>
      <c r="IX2" s="124"/>
      <c r="IY2" s="124"/>
      <c r="IZ2" s="124"/>
      <c r="JA2" s="124"/>
      <c r="JB2" s="125"/>
    </row>
    <row r="3" spans="1:267" x14ac:dyDescent="0.25">
      <c r="A3" s="2"/>
      <c r="B3" s="2"/>
      <c r="C3" s="2"/>
      <c r="D3" s="2"/>
      <c r="E3" s="2"/>
      <c r="F3" s="2"/>
      <c r="G3" s="2"/>
      <c r="H3" s="2"/>
      <c r="I3" s="2"/>
      <c r="J3" s="2"/>
      <c r="K3" s="36">
        <f>D1-WEEKDAY(D1,1)+2+7*(I1-1)</f>
        <v>45334</v>
      </c>
      <c r="L3" s="29">
        <f t="shared" ref="L3:AQ3" si="0">K3+1</f>
        <v>45335</v>
      </c>
      <c r="M3" s="29">
        <f t="shared" si="0"/>
        <v>45336</v>
      </c>
      <c r="N3" s="29">
        <f t="shared" si="0"/>
        <v>45337</v>
      </c>
      <c r="O3" s="29">
        <f t="shared" si="0"/>
        <v>45338</v>
      </c>
      <c r="P3" s="29">
        <f t="shared" si="0"/>
        <v>45339</v>
      </c>
      <c r="Q3" s="37">
        <f t="shared" si="0"/>
        <v>45340</v>
      </c>
      <c r="R3" s="36">
        <f t="shared" si="0"/>
        <v>45341</v>
      </c>
      <c r="S3" s="29">
        <f t="shared" si="0"/>
        <v>45342</v>
      </c>
      <c r="T3" s="29">
        <f t="shared" si="0"/>
        <v>45343</v>
      </c>
      <c r="U3" s="29">
        <f t="shared" si="0"/>
        <v>45344</v>
      </c>
      <c r="V3" s="29">
        <f t="shared" si="0"/>
        <v>45345</v>
      </c>
      <c r="W3" s="29">
        <f t="shared" si="0"/>
        <v>45346</v>
      </c>
      <c r="X3" s="37">
        <f t="shared" si="0"/>
        <v>45347</v>
      </c>
      <c r="Y3" s="36">
        <f t="shared" si="0"/>
        <v>45348</v>
      </c>
      <c r="Z3" s="29">
        <f t="shared" si="0"/>
        <v>45349</v>
      </c>
      <c r="AA3" s="29">
        <f t="shared" si="0"/>
        <v>45350</v>
      </c>
      <c r="AB3" s="29">
        <f t="shared" si="0"/>
        <v>45351</v>
      </c>
      <c r="AC3" s="29">
        <f t="shared" si="0"/>
        <v>45352</v>
      </c>
      <c r="AD3" s="29">
        <f t="shared" si="0"/>
        <v>45353</v>
      </c>
      <c r="AE3" s="37">
        <f t="shared" si="0"/>
        <v>45354</v>
      </c>
      <c r="AF3" s="36">
        <f t="shared" si="0"/>
        <v>45355</v>
      </c>
      <c r="AG3" s="29">
        <f t="shared" si="0"/>
        <v>45356</v>
      </c>
      <c r="AH3" s="29">
        <f t="shared" si="0"/>
        <v>45357</v>
      </c>
      <c r="AI3" s="29">
        <f t="shared" si="0"/>
        <v>45358</v>
      </c>
      <c r="AJ3" s="29">
        <f t="shared" si="0"/>
        <v>45359</v>
      </c>
      <c r="AK3" s="29">
        <f t="shared" si="0"/>
        <v>45360</v>
      </c>
      <c r="AL3" s="37">
        <f t="shared" si="0"/>
        <v>45361</v>
      </c>
      <c r="AM3" s="36">
        <f t="shared" si="0"/>
        <v>45362</v>
      </c>
      <c r="AN3" s="29">
        <f t="shared" si="0"/>
        <v>45363</v>
      </c>
      <c r="AO3" s="29">
        <f t="shared" si="0"/>
        <v>45364</v>
      </c>
      <c r="AP3" s="29">
        <f>AO3+1</f>
        <v>45365</v>
      </c>
      <c r="AQ3" s="29">
        <f t="shared" si="0"/>
        <v>45366</v>
      </c>
      <c r="AR3" s="29">
        <f t="shared" ref="AR3:BN3" si="1">AQ3+1</f>
        <v>45367</v>
      </c>
      <c r="AS3" s="37">
        <f t="shared" si="1"/>
        <v>45368</v>
      </c>
      <c r="AT3" s="36">
        <f t="shared" si="1"/>
        <v>45369</v>
      </c>
      <c r="AU3" s="29">
        <f t="shared" si="1"/>
        <v>45370</v>
      </c>
      <c r="AV3" s="29">
        <f t="shared" si="1"/>
        <v>45371</v>
      </c>
      <c r="AW3" s="29">
        <f t="shared" si="1"/>
        <v>45372</v>
      </c>
      <c r="AX3" s="29">
        <f t="shared" si="1"/>
        <v>45373</v>
      </c>
      <c r="AY3" s="29">
        <f t="shared" si="1"/>
        <v>45374</v>
      </c>
      <c r="AZ3" s="37">
        <f t="shared" si="1"/>
        <v>45375</v>
      </c>
      <c r="BA3" s="36">
        <f t="shared" si="1"/>
        <v>45376</v>
      </c>
      <c r="BB3" s="29">
        <f t="shared" si="1"/>
        <v>45377</v>
      </c>
      <c r="BC3" s="29">
        <f t="shared" si="1"/>
        <v>45378</v>
      </c>
      <c r="BD3" s="29">
        <f t="shared" si="1"/>
        <v>45379</v>
      </c>
      <c r="BE3" s="29">
        <f t="shared" si="1"/>
        <v>45380</v>
      </c>
      <c r="BF3" s="29">
        <f t="shared" si="1"/>
        <v>45381</v>
      </c>
      <c r="BG3" s="37">
        <f t="shared" si="1"/>
        <v>45382</v>
      </c>
      <c r="BH3" s="36">
        <f t="shared" si="1"/>
        <v>45383</v>
      </c>
      <c r="BI3" s="29">
        <f t="shared" si="1"/>
        <v>45384</v>
      </c>
      <c r="BJ3" s="29">
        <f t="shared" si="1"/>
        <v>45385</v>
      </c>
      <c r="BK3" s="29">
        <f t="shared" si="1"/>
        <v>45386</v>
      </c>
      <c r="BL3" s="29">
        <f t="shared" si="1"/>
        <v>45387</v>
      </c>
      <c r="BM3" s="29">
        <f t="shared" si="1"/>
        <v>45388</v>
      </c>
      <c r="BN3" s="37">
        <f t="shared" si="1"/>
        <v>45389</v>
      </c>
      <c r="BO3" s="36">
        <f t="shared" ref="BO3" si="2">BN3+1</f>
        <v>45390</v>
      </c>
      <c r="BP3" s="29">
        <f t="shared" ref="BP3" si="3">BO3+1</f>
        <v>45391</v>
      </c>
      <c r="BQ3" s="29">
        <f t="shared" ref="BQ3" si="4">BP3+1</f>
        <v>45392</v>
      </c>
      <c r="BR3" s="29">
        <f t="shared" ref="BR3" si="5">BQ3+1</f>
        <v>45393</v>
      </c>
      <c r="BS3" s="29">
        <f t="shared" ref="BS3" si="6">BR3+1</f>
        <v>45394</v>
      </c>
      <c r="BT3" s="29">
        <f t="shared" ref="BT3" si="7">BS3+1</f>
        <v>45395</v>
      </c>
      <c r="BU3" s="37">
        <f t="shared" ref="BU3" si="8">BT3+1</f>
        <v>45396</v>
      </c>
      <c r="BV3" s="36">
        <f t="shared" ref="BV3" si="9">BU3+1</f>
        <v>45397</v>
      </c>
      <c r="BW3" s="29">
        <f t="shared" ref="BW3" si="10">BV3+1</f>
        <v>45398</v>
      </c>
      <c r="BX3" s="29">
        <f t="shared" ref="BX3" si="11">BW3+1</f>
        <v>45399</v>
      </c>
      <c r="BY3" s="29">
        <f t="shared" ref="BY3" si="12">BX3+1</f>
        <v>45400</v>
      </c>
      <c r="BZ3" s="29">
        <f t="shared" ref="BZ3" si="13">BY3+1</f>
        <v>45401</v>
      </c>
      <c r="CA3" s="29">
        <f t="shared" ref="CA3" si="14">BZ3+1</f>
        <v>45402</v>
      </c>
      <c r="CB3" s="37">
        <f t="shared" ref="CB3" si="15">CA3+1</f>
        <v>45403</v>
      </c>
      <c r="CC3" s="36">
        <f t="shared" ref="CC3" si="16">CB3+1</f>
        <v>45404</v>
      </c>
      <c r="CD3" s="29">
        <f t="shared" ref="CD3" si="17">CC3+1</f>
        <v>45405</v>
      </c>
      <c r="CE3" s="29">
        <f t="shared" ref="CE3" si="18">CD3+1</f>
        <v>45406</v>
      </c>
      <c r="CF3" s="29">
        <f t="shared" ref="CF3" si="19">CE3+1</f>
        <v>45407</v>
      </c>
      <c r="CG3" s="29">
        <f t="shared" ref="CG3" si="20">CF3+1</f>
        <v>45408</v>
      </c>
      <c r="CH3" s="29">
        <f t="shared" ref="CH3" si="21">CG3+1</f>
        <v>45409</v>
      </c>
      <c r="CI3" s="37">
        <f t="shared" ref="CI3" si="22">CH3+1</f>
        <v>45410</v>
      </c>
      <c r="CJ3" s="36">
        <f t="shared" ref="CJ3" si="23">CI3+1</f>
        <v>45411</v>
      </c>
      <c r="CK3" s="29">
        <f t="shared" ref="CK3" si="24">CJ3+1</f>
        <v>45412</v>
      </c>
      <c r="CL3" s="29">
        <f t="shared" ref="CL3" si="25">CK3+1</f>
        <v>45413</v>
      </c>
      <c r="CM3" s="29">
        <f t="shared" ref="CM3" si="26">CL3+1</f>
        <v>45414</v>
      </c>
      <c r="CN3" s="29">
        <f t="shared" ref="CN3" si="27">CM3+1</f>
        <v>45415</v>
      </c>
      <c r="CO3" s="29">
        <f t="shared" ref="CO3" si="28">CN3+1</f>
        <v>45416</v>
      </c>
      <c r="CP3" s="37">
        <f t="shared" ref="CP3" si="29">CO3+1</f>
        <v>45417</v>
      </c>
      <c r="CQ3" s="36">
        <f t="shared" ref="CQ3" si="30">CP3+1</f>
        <v>45418</v>
      </c>
      <c r="CR3" s="29">
        <f t="shared" ref="CR3" si="31">CQ3+1</f>
        <v>45419</v>
      </c>
      <c r="CS3" s="29">
        <f t="shared" ref="CS3" si="32">CR3+1</f>
        <v>45420</v>
      </c>
      <c r="CT3" s="29">
        <f t="shared" ref="CT3" si="33">CS3+1</f>
        <v>45421</v>
      </c>
      <c r="CU3" s="29">
        <f t="shared" ref="CU3" si="34">CT3+1</f>
        <v>45422</v>
      </c>
      <c r="CV3" s="29">
        <f t="shared" ref="CV3" si="35">CU3+1</f>
        <v>45423</v>
      </c>
      <c r="CW3" s="37">
        <f t="shared" ref="CW3" si="36">CV3+1</f>
        <v>45424</v>
      </c>
      <c r="CX3" s="36">
        <f t="shared" ref="CX3" si="37">CW3+1</f>
        <v>45425</v>
      </c>
      <c r="CY3" s="29">
        <f t="shared" ref="CY3" si="38">CX3+1</f>
        <v>45426</v>
      </c>
      <c r="CZ3" s="29">
        <f t="shared" ref="CZ3" si="39">CY3+1</f>
        <v>45427</v>
      </c>
      <c r="DA3" s="29">
        <f t="shared" ref="DA3" si="40">CZ3+1</f>
        <v>45428</v>
      </c>
      <c r="DB3" s="29">
        <f t="shared" ref="DB3" si="41">DA3+1</f>
        <v>45429</v>
      </c>
      <c r="DC3" s="29">
        <f t="shared" ref="DC3" si="42">DB3+1</f>
        <v>45430</v>
      </c>
      <c r="DD3" s="37">
        <f t="shared" ref="DD3" si="43">DC3+1</f>
        <v>45431</v>
      </c>
      <c r="DE3" s="36">
        <f t="shared" ref="DE3" si="44">DD3+1</f>
        <v>45432</v>
      </c>
      <c r="DF3" s="29">
        <f t="shared" ref="DF3" si="45">DE3+1</f>
        <v>45433</v>
      </c>
      <c r="DG3" s="29">
        <f t="shared" ref="DG3" si="46">DF3+1</f>
        <v>45434</v>
      </c>
      <c r="DH3" s="29">
        <f t="shared" ref="DH3" si="47">DG3+1</f>
        <v>45435</v>
      </c>
      <c r="DI3" s="29">
        <f t="shared" ref="DI3" si="48">DH3+1</f>
        <v>45436</v>
      </c>
      <c r="DJ3" s="29">
        <f t="shared" ref="DJ3" si="49">DI3+1</f>
        <v>45437</v>
      </c>
      <c r="DK3" s="37">
        <f t="shared" ref="DK3" si="50">DJ3+1</f>
        <v>45438</v>
      </c>
      <c r="DL3" s="36">
        <f t="shared" ref="DL3" si="51">DK3+1</f>
        <v>45439</v>
      </c>
      <c r="DM3" s="29">
        <f t="shared" ref="DM3" si="52">DL3+1</f>
        <v>45440</v>
      </c>
      <c r="DN3" s="29">
        <f t="shared" ref="DN3" si="53">DM3+1</f>
        <v>45441</v>
      </c>
      <c r="DO3" s="29">
        <f t="shared" ref="DO3" si="54">DN3+1</f>
        <v>45442</v>
      </c>
      <c r="DP3" s="29">
        <f t="shared" ref="DP3" si="55">DO3+1</f>
        <v>45443</v>
      </c>
      <c r="DQ3" s="29">
        <f t="shared" ref="DQ3" si="56">DP3+1</f>
        <v>45444</v>
      </c>
      <c r="DR3" s="37">
        <f t="shared" ref="DR3" si="57">DQ3+1</f>
        <v>45445</v>
      </c>
      <c r="DS3" s="36">
        <f t="shared" ref="DS3" si="58">DR3+1</f>
        <v>45446</v>
      </c>
      <c r="DT3" s="29">
        <f t="shared" ref="DT3" si="59">DS3+1</f>
        <v>45447</v>
      </c>
      <c r="DU3" s="29">
        <f t="shared" ref="DU3" si="60">DT3+1</f>
        <v>45448</v>
      </c>
      <c r="DV3" s="29">
        <f t="shared" ref="DV3" si="61">DU3+1</f>
        <v>45449</v>
      </c>
      <c r="DW3" s="29">
        <f t="shared" ref="DW3" si="62">DV3+1</f>
        <v>45450</v>
      </c>
      <c r="DX3" s="29">
        <f t="shared" ref="DX3" si="63">DW3+1</f>
        <v>45451</v>
      </c>
      <c r="DY3" s="37">
        <f t="shared" ref="DY3" si="64">DX3+1</f>
        <v>45452</v>
      </c>
      <c r="DZ3" s="36">
        <f t="shared" ref="DZ3" si="65">DY3+1</f>
        <v>45453</v>
      </c>
      <c r="EA3" s="29">
        <f t="shared" ref="EA3" si="66">DZ3+1</f>
        <v>45454</v>
      </c>
      <c r="EB3" s="29">
        <f t="shared" ref="EB3" si="67">EA3+1</f>
        <v>45455</v>
      </c>
      <c r="EC3" s="29">
        <f t="shared" ref="EC3" si="68">EB3+1</f>
        <v>45456</v>
      </c>
      <c r="ED3" s="29">
        <f t="shared" ref="ED3" si="69">EC3+1</f>
        <v>45457</v>
      </c>
      <c r="EE3" s="29">
        <f t="shared" ref="EE3" si="70">ED3+1</f>
        <v>45458</v>
      </c>
      <c r="EF3" s="37">
        <f t="shared" ref="EF3" si="71">EE3+1</f>
        <v>45459</v>
      </c>
      <c r="EG3" s="36">
        <f t="shared" ref="EG3" si="72">EF3+1</f>
        <v>45460</v>
      </c>
      <c r="EH3" s="29">
        <f t="shared" ref="EH3" si="73">EG3+1</f>
        <v>45461</v>
      </c>
      <c r="EI3" s="29">
        <f t="shared" ref="EI3" si="74">EH3+1</f>
        <v>45462</v>
      </c>
      <c r="EJ3" s="29">
        <f t="shared" ref="EJ3" si="75">EI3+1</f>
        <v>45463</v>
      </c>
      <c r="EK3" s="29">
        <f t="shared" ref="EK3" si="76">EJ3+1</f>
        <v>45464</v>
      </c>
      <c r="EL3" s="29">
        <f t="shared" ref="EL3" si="77">EK3+1</f>
        <v>45465</v>
      </c>
      <c r="EM3" s="37">
        <f t="shared" ref="EM3" si="78">EL3+1</f>
        <v>45466</v>
      </c>
      <c r="EN3" s="36">
        <f t="shared" ref="EN3" si="79">EM3+1</f>
        <v>45467</v>
      </c>
      <c r="EO3" s="29">
        <f t="shared" ref="EO3" si="80">EN3+1</f>
        <v>45468</v>
      </c>
      <c r="EP3" s="29">
        <f t="shared" ref="EP3" si="81">EO3+1</f>
        <v>45469</v>
      </c>
      <c r="EQ3" s="29">
        <f t="shared" ref="EQ3" si="82">EP3+1</f>
        <v>45470</v>
      </c>
      <c r="ER3" s="29">
        <f t="shared" ref="ER3" si="83">EQ3+1</f>
        <v>45471</v>
      </c>
      <c r="ES3" s="29">
        <f t="shared" ref="ES3" si="84">ER3+1</f>
        <v>45472</v>
      </c>
      <c r="ET3" s="37">
        <f t="shared" ref="ET3" si="85">ES3+1</f>
        <v>45473</v>
      </c>
      <c r="EU3" s="36">
        <f t="shared" ref="EU3" si="86">ET3+1</f>
        <v>45474</v>
      </c>
      <c r="EV3" s="29">
        <f t="shared" ref="EV3" si="87">EU3+1</f>
        <v>45475</v>
      </c>
      <c r="EW3" s="29">
        <f t="shared" ref="EW3" si="88">EV3+1</f>
        <v>45476</v>
      </c>
      <c r="EX3" s="29">
        <f t="shared" ref="EX3" si="89">EW3+1</f>
        <v>45477</v>
      </c>
      <c r="EY3" s="29">
        <f t="shared" ref="EY3" si="90">EX3+1</f>
        <v>45478</v>
      </c>
      <c r="EZ3" s="29">
        <f t="shared" ref="EZ3" si="91">EY3+1</f>
        <v>45479</v>
      </c>
      <c r="FA3" s="37">
        <f t="shared" ref="FA3" si="92">EZ3+1</f>
        <v>45480</v>
      </c>
      <c r="FB3" s="36">
        <f t="shared" ref="FB3" si="93">FA3+1</f>
        <v>45481</v>
      </c>
      <c r="FC3" s="29">
        <f t="shared" ref="FC3" si="94">FB3+1</f>
        <v>45482</v>
      </c>
      <c r="FD3" s="29">
        <f t="shared" ref="FD3" si="95">FC3+1</f>
        <v>45483</v>
      </c>
      <c r="FE3" s="29">
        <f t="shared" ref="FE3" si="96">FD3+1</f>
        <v>45484</v>
      </c>
      <c r="FF3" s="29">
        <f t="shared" ref="FF3" si="97">FE3+1</f>
        <v>45485</v>
      </c>
      <c r="FG3" s="29">
        <f t="shared" ref="FG3" si="98">FF3+1</f>
        <v>45486</v>
      </c>
      <c r="FH3" s="37">
        <f t="shared" ref="FH3" si="99">FG3+1</f>
        <v>45487</v>
      </c>
      <c r="FI3" s="36">
        <f t="shared" ref="FI3" si="100">FH3+1</f>
        <v>45488</v>
      </c>
      <c r="FJ3" s="29">
        <f t="shared" ref="FJ3" si="101">FI3+1</f>
        <v>45489</v>
      </c>
      <c r="FK3" s="29">
        <f t="shared" ref="FK3" si="102">FJ3+1</f>
        <v>45490</v>
      </c>
      <c r="FL3" s="29">
        <f t="shared" ref="FL3" si="103">FK3+1</f>
        <v>45491</v>
      </c>
      <c r="FM3" s="29">
        <f t="shared" ref="FM3" si="104">FL3+1</f>
        <v>45492</v>
      </c>
      <c r="FN3" s="29">
        <f t="shared" ref="FN3" si="105">FM3+1</f>
        <v>45493</v>
      </c>
      <c r="FO3" s="37">
        <f t="shared" ref="FO3" si="106">FN3+1</f>
        <v>45494</v>
      </c>
      <c r="FP3" s="36">
        <f t="shared" ref="FP3" si="107">FO3+1</f>
        <v>45495</v>
      </c>
      <c r="FQ3" s="29">
        <f t="shared" ref="FQ3" si="108">FP3+1</f>
        <v>45496</v>
      </c>
      <c r="FR3" s="29">
        <f t="shared" ref="FR3" si="109">FQ3+1</f>
        <v>45497</v>
      </c>
      <c r="FS3" s="29">
        <f t="shared" ref="FS3" si="110">FR3+1</f>
        <v>45498</v>
      </c>
      <c r="FT3" s="29">
        <f t="shared" ref="FT3" si="111">FS3+1</f>
        <v>45499</v>
      </c>
      <c r="FU3" s="29">
        <f t="shared" ref="FU3" si="112">FT3+1</f>
        <v>45500</v>
      </c>
      <c r="FV3" s="37">
        <f t="shared" ref="FV3" si="113">FU3+1</f>
        <v>45501</v>
      </c>
      <c r="FW3" s="36">
        <f t="shared" ref="FW3" si="114">FV3+1</f>
        <v>45502</v>
      </c>
      <c r="FX3" s="29">
        <f t="shared" ref="FX3" si="115">FW3+1</f>
        <v>45503</v>
      </c>
      <c r="FY3" s="29">
        <f t="shared" ref="FY3" si="116">FX3+1</f>
        <v>45504</v>
      </c>
      <c r="FZ3" s="29">
        <f t="shared" ref="FZ3" si="117">FY3+1</f>
        <v>45505</v>
      </c>
      <c r="GA3" s="29">
        <f t="shared" ref="GA3" si="118">FZ3+1</f>
        <v>45506</v>
      </c>
      <c r="GB3" s="29">
        <f t="shared" ref="GB3" si="119">GA3+1</f>
        <v>45507</v>
      </c>
      <c r="GC3" s="37">
        <f t="shared" ref="GC3" si="120">GB3+1</f>
        <v>45508</v>
      </c>
      <c r="GD3" s="36">
        <f t="shared" ref="GD3" si="121">GC3+1</f>
        <v>45509</v>
      </c>
      <c r="GE3" s="29">
        <f t="shared" ref="GE3" si="122">GD3+1</f>
        <v>45510</v>
      </c>
      <c r="GF3" s="29">
        <f t="shared" ref="GF3" si="123">GE3+1</f>
        <v>45511</v>
      </c>
      <c r="GG3" s="29">
        <f t="shared" ref="GG3" si="124">GF3+1</f>
        <v>45512</v>
      </c>
      <c r="GH3" s="29">
        <f t="shared" ref="GH3" si="125">GG3+1</f>
        <v>45513</v>
      </c>
      <c r="GI3" s="29">
        <f t="shared" ref="GI3" si="126">GH3+1</f>
        <v>45514</v>
      </c>
      <c r="GJ3" s="37">
        <f t="shared" ref="GJ3" si="127">GI3+1</f>
        <v>45515</v>
      </c>
      <c r="GK3" s="36">
        <f t="shared" ref="GK3" si="128">GJ3+1</f>
        <v>45516</v>
      </c>
      <c r="GL3" s="29">
        <f t="shared" ref="GL3" si="129">GK3+1</f>
        <v>45517</v>
      </c>
      <c r="GM3" s="29">
        <f t="shared" ref="GM3" si="130">GL3+1</f>
        <v>45518</v>
      </c>
      <c r="GN3" s="29">
        <f t="shared" ref="GN3" si="131">GM3+1</f>
        <v>45519</v>
      </c>
      <c r="GO3" s="29">
        <f t="shared" ref="GO3" si="132">GN3+1</f>
        <v>45520</v>
      </c>
      <c r="GP3" s="29">
        <f t="shared" ref="GP3" si="133">GO3+1</f>
        <v>45521</v>
      </c>
      <c r="GQ3" s="37">
        <f t="shared" ref="GQ3" si="134">GP3+1</f>
        <v>45522</v>
      </c>
      <c r="GR3" s="36">
        <f t="shared" ref="GR3" si="135">GQ3+1</f>
        <v>45523</v>
      </c>
      <c r="GS3" s="29">
        <f t="shared" ref="GS3" si="136">GR3+1</f>
        <v>45524</v>
      </c>
      <c r="GT3" s="29">
        <f t="shared" ref="GT3" si="137">GS3+1</f>
        <v>45525</v>
      </c>
      <c r="GU3" s="29">
        <f t="shared" ref="GU3" si="138">GT3+1</f>
        <v>45526</v>
      </c>
      <c r="GV3" s="29">
        <f t="shared" ref="GV3" si="139">GU3+1</f>
        <v>45527</v>
      </c>
      <c r="GW3" s="29">
        <f t="shared" ref="GW3" si="140">GV3+1</f>
        <v>45528</v>
      </c>
      <c r="GX3" s="37">
        <f t="shared" ref="GX3" si="141">GW3+1</f>
        <v>45529</v>
      </c>
      <c r="GY3" s="36">
        <f t="shared" ref="GY3" si="142">GX3+1</f>
        <v>45530</v>
      </c>
      <c r="GZ3" s="29">
        <f t="shared" ref="GZ3" si="143">GY3+1</f>
        <v>45531</v>
      </c>
      <c r="HA3" s="29">
        <f t="shared" ref="HA3" si="144">GZ3+1</f>
        <v>45532</v>
      </c>
      <c r="HB3" s="29">
        <f t="shared" ref="HB3" si="145">HA3+1</f>
        <v>45533</v>
      </c>
      <c r="HC3" s="29">
        <f t="shared" ref="HC3" si="146">HB3+1</f>
        <v>45534</v>
      </c>
      <c r="HD3" s="29">
        <f t="shared" ref="HD3" si="147">HC3+1</f>
        <v>45535</v>
      </c>
      <c r="HE3" s="37">
        <f t="shared" ref="HE3" si="148">HD3+1</f>
        <v>45536</v>
      </c>
      <c r="HF3" s="36">
        <f t="shared" ref="HF3" si="149">HE3+1</f>
        <v>45537</v>
      </c>
      <c r="HG3" s="29">
        <f t="shared" ref="HG3" si="150">HF3+1</f>
        <v>45538</v>
      </c>
      <c r="HH3" s="29">
        <f t="shared" ref="HH3" si="151">HG3+1</f>
        <v>45539</v>
      </c>
      <c r="HI3" s="29">
        <f t="shared" ref="HI3" si="152">HH3+1</f>
        <v>45540</v>
      </c>
      <c r="HJ3" s="29">
        <f t="shared" ref="HJ3" si="153">HI3+1</f>
        <v>45541</v>
      </c>
      <c r="HK3" s="29">
        <f t="shared" ref="HK3" si="154">HJ3+1</f>
        <v>45542</v>
      </c>
      <c r="HL3" s="37">
        <f t="shared" ref="HL3" si="155">HK3+1</f>
        <v>45543</v>
      </c>
      <c r="HM3" s="36">
        <f t="shared" ref="HM3" si="156">HL3+1</f>
        <v>45544</v>
      </c>
      <c r="HN3" s="29">
        <f t="shared" ref="HN3" si="157">HM3+1</f>
        <v>45545</v>
      </c>
      <c r="HO3" s="29">
        <f t="shared" ref="HO3" si="158">HN3+1</f>
        <v>45546</v>
      </c>
      <c r="HP3" s="29">
        <f t="shared" ref="HP3" si="159">HO3+1</f>
        <v>45547</v>
      </c>
      <c r="HQ3" s="29">
        <f t="shared" ref="HQ3" si="160">HP3+1</f>
        <v>45548</v>
      </c>
      <c r="HR3" s="29">
        <f t="shared" ref="HR3" si="161">HQ3+1</f>
        <v>45549</v>
      </c>
      <c r="HS3" s="37">
        <f t="shared" ref="HS3" si="162">HR3+1</f>
        <v>45550</v>
      </c>
      <c r="HT3" s="36">
        <f t="shared" ref="HT3" si="163">HS3+1</f>
        <v>45551</v>
      </c>
      <c r="HU3" s="29">
        <f t="shared" ref="HU3" si="164">HT3+1</f>
        <v>45552</v>
      </c>
      <c r="HV3" s="29">
        <f t="shared" ref="HV3" si="165">HU3+1</f>
        <v>45553</v>
      </c>
      <c r="HW3" s="29">
        <f t="shared" ref="HW3" si="166">HV3+1</f>
        <v>45554</v>
      </c>
      <c r="HX3" s="29">
        <f t="shared" ref="HX3" si="167">HW3+1</f>
        <v>45555</v>
      </c>
      <c r="HY3" s="29">
        <f t="shared" ref="HY3" si="168">HX3+1</f>
        <v>45556</v>
      </c>
      <c r="HZ3" s="37">
        <f t="shared" ref="HZ3" si="169">HY3+1</f>
        <v>45557</v>
      </c>
      <c r="IA3" s="36">
        <f t="shared" ref="IA3" si="170">HZ3+1</f>
        <v>45558</v>
      </c>
      <c r="IB3" s="29">
        <f t="shared" ref="IB3" si="171">IA3+1</f>
        <v>45559</v>
      </c>
      <c r="IC3" s="29">
        <f t="shared" ref="IC3" si="172">IB3+1</f>
        <v>45560</v>
      </c>
      <c r="ID3" s="29">
        <f t="shared" ref="ID3" si="173">IC3+1</f>
        <v>45561</v>
      </c>
      <c r="IE3" s="29">
        <f t="shared" ref="IE3" si="174">ID3+1</f>
        <v>45562</v>
      </c>
      <c r="IF3" s="29">
        <f t="shared" ref="IF3" si="175">IE3+1</f>
        <v>45563</v>
      </c>
      <c r="IG3" s="37">
        <f t="shared" ref="IG3" si="176">IF3+1</f>
        <v>45564</v>
      </c>
      <c r="IH3" s="36">
        <f t="shared" ref="IH3" si="177">IG3+1</f>
        <v>45565</v>
      </c>
      <c r="II3" s="29">
        <f t="shared" ref="II3" si="178">IH3+1</f>
        <v>45566</v>
      </c>
      <c r="IJ3" s="29">
        <f t="shared" ref="IJ3" si="179">II3+1</f>
        <v>45567</v>
      </c>
      <c r="IK3" s="29">
        <f t="shared" ref="IK3" si="180">IJ3+1</f>
        <v>45568</v>
      </c>
      <c r="IL3" s="29">
        <f t="shared" ref="IL3" si="181">IK3+1</f>
        <v>45569</v>
      </c>
      <c r="IM3" s="29">
        <f t="shared" ref="IM3" si="182">IL3+1</f>
        <v>45570</v>
      </c>
      <c r="IN3" s="37">
        <f t="shared" ref="IN3" si="183">IM3+1</f>
        <v>45571</v>
      </c>
      <c r="IO3" s="36">
        <f t="shared" ref="IO3" si="184">IN3+1</f>
        <v>45572</v>
      </c>
      <c r="IP3" s="29">
        <f t="shared" ref="IP3" si="185">IO3+1</f>
        <v>45573</v>
      </c>
      <c r="IQ3" s="29">
        <f t="shared" ref="IQ3" si="186">IP3+1</f>
        <v>45574</v>
      </c>
      <c r="IR3" s="29">
        <f t="shared" ref="IR3" si="187">IQ3+1</f>
        <v>45575</v>
      </c>
      <c r="IS3" s="29">
        <f t="shared" ref="IS3" si="188">IR3+1</f>
        <v>45576</v>
      </c>
      <c r="IT3" s="29">
        <f t="shared" ref="IT3" si="189">IS3+1</f>
        <v>45577</v>
      </c>
      <c r="IU3" s="37">
        <f t="shared" ref="IU3" si="190">IT3+1</f>
        <v>45578</v>
      </c>
      <c r="IV3" s="36">
        <f t="shared" ref="IV3" si="191">IU3+1</f>
        <v>45579</v>
      </c>
      <c r="IW3" s="29">
        <f t="shared" ref="IW3" si="192">IV3+1</f>
        <v>45580</v>
      </c>
      <c r="IX3" s="29">
        <f t="shared" ref="IX3" si="193">IW3+1</f>
        <v>45581</v>
      </c>
      <c r="IY3" s="29">
        <f t="shared" ref="IY3" si="194">IX3+1</f>
        <v>45582</v>
      </c>
      <c r="IZ3" s="29">
        <f t="shared" ref="IZ3" si="195">IY3+1</f>
        <v>45583</v>
      </c>
      <c r="JA3" s="29">
        <f t="shared" ref="JA3" si="196">IZ3+1</f>
        <v>45584</v>
      </c>
      <c r="JB3" s="37">
        <f t="shared" ref="JB3" si="197">JA3+1</f>
        <v>45585</v>
      </c>
    </row>
    <row r="4" spans="1:267" s="1" customFormat="1" ht="18.600000000000001" customHeight="1" thickBot="1" x14ac:dyDescent="0.3">
      <c r="A4" s="49" t="s">
        <v>0</v>
      </c>
      <c r="B4" s="49"/>
      <c r="C4" s="49" t="s">
        <v>9</v>
      </c>
      <c r="D4" s="50" t="s">
        <v>10</v>
      </c>
      <c r="E4" s="51" t="s">
        <v>16</v>
      </c>
      <c r="F4" s="52" t="s">
        <v>11</v>
      </c>
      <c r="G4" s="52" t="s">
        <v>12</v>
      </c>
      <c r="H4" s="50" t="s">
        <v>13</v>
      </c>
      <c r="I4" s="50" t="s">
        <v>14</v>
      </c>
      <c r="J4" s="50" t="s">
        <v>15</v>
      </c>
      <c r="K4" s="53" t="str">
        <f t="shared" ref="K4:AP4" si="198">CHOOSE(WEEKDAY(K3,1),"S","M","T","W","T","F","S")</f>
        <v>M</v>
      </c>
      <c r="L4" s="54" t="str">
        <f t="shared" si="198"/>
        <v>T</v>
      </c>
      <c r="M4" s="54" t="str">
        <f t="shared" si="198"/>
        <v>W</v>
      </c>
      <c r="N4" s="54" t="str">
        <f t="shared" si="198"/>
        <v>T</v>
      </c>
      <c r="O4" s="54" t="str">
        <f t="shared" si="198"/>
        <v>F</v>
      </c>
      <c r="P4" s="54" t="str">
        <f t="shared" si="198"/>
        <v>S</v>
      </c>
      <c r="Q4" s="55" t="str">
        <f t="shared" si="198"/>
        <v>S</v>
      </c>
      <c r="R4" s="53" t="str">
        <f t="shared" si="198"/>
        <v>M</v>
      </c>
      <c r="S4" s="54" t="str">
        <f t="shared" si="198"/>
        <v>T</v>
      </c>
      <c r="T4" s="54" t="str">
        <f t="shared" si="198"/>
        <v>W</v>
      </c>
      <c r="U4" s="54" t="str">
        <f t="shared" si="198"/>
        <v>T</v>
      </c>
      <c r="V4" s="54" t="str">
        <f t="shared" si="198"/>
        <v>F</v>
      </c>
      <c r="W4" s="54" t="str">
        <f t="shared" si="198"/>
        <v>S</v>
      </c>
      <c r="X4" s="55" t="str">
        <f t="shared" si="198"/>
        <v>S</v>
      </c>
      <c r="Y4" s="53" t="str">
        <f t="shared" si="198"/>
        <v>M</v>
      </c>
      <c r="Z4" s="54" t="str">
        <f t="shared" si="198"/>
        <v>T</v>
      </c>
      <c r="AA4" s="54" t="str">
        <f t="shared" si="198"/>
        <v>W</v>
      </c>
      <c r="AB4" s="54" t="str">
        <f t="shared" si="198"/>
        <v>T</v>
      </c>
      <c r="AC4" s="54" t="str">
        <f t="shared" si="198"/>
        <v>F</v>
      </c>
      <c r="AD4" s="54" t="str">
        <f t="shared" si="198"/>
        <v>S</v>
      </c>
      <c r="AE4" s="55" t="str">
        <f t="shared" si="198"/>
        <v>S</v>
      </c>
      <c r="AF4" s="53" t="str">
        <f t="shared" si="198"/>
        <v>M</v>
      </c>
      <c r="AG4" s="54" t="str">
        <f t="shared" si="198"/>
        <v>T</v>
      </c>
      <c r="AH4" s="54" t="str">
        <f t="shared" si="198"/>
        <v>W</v>
      </c>
      <c r="AI4" s="54" t="str">
        <f t="shared" si="198"/>
        <v>T</v>
      </c>
      <c r="AJ4" s="54" t="str">
        <f t="shared" si="198"/>
        <v>F</v>
      </c>
      <c r="AK4" s="54" t="str">
        <f t="shared" si="198"/>
        <v>S</v>
      </c>
      <c r="AL4" s="55" t="str">
        <f t="shared" si="198"/>
        <v>S</v>
      </c>
      <c r="AM4" s="53" t="str">
        <f t="shared" si="198"/>
        <v>M</v>
      </c>
      <c r="AN4" s="54" t="str">
        <f t="shared" si="198"/>
        <v>T</v>
      </c>
      <c r="AO4" s="54" t="str">
        <f t="shared" si="198"/>
        <v>W</v>
      </c>
      <c r="AP4" s="54" t="str">
        <f t="shared" si="198"/>
        <v>T</v>
      </c>
      <c r="AQ4" s="54" t="str">
        <f t="shared" ref="AQ4:BN4" si="199">CHOOSE(WEEKDAY(AQ3,1),"S","M","T","W","T","F","S")</f>
        <v>F</v>
      </c>
      <c r="AR4" s="54" t="str">
        <f t="shared" si="199"/>
        <v>S</v>
      </c>
      <c r="AS4" s="55" t="str">
        <f t="shared" si="199"/>
        <v>S</v>
      </c>
      <c r="AT4" s="53" t="str">
        <f t="shared" si="199"/>
        <v>M</v>
      </c>
      <c r="AU4" s="54" t="str">
        <f t="shared" si="199"/>
        <v>T</v>
      </c>
      <c r="AV4" s="54" t="str">
        <f t="shared" si="199"/>
        <v>W</v>
      </c>
      <c r="AW4" s="54" t="str">
        <f t="shared" si="199"/>
        <v>T</v>
      </c>
      <c r="AX4" s="54" t="str">
        <f t="shared" si="199"/>
        <v>F</v>
      </c>
      <c r="AY4" s="54" t="str">
        <f t="shared" si="199"/>
        <v>S</v>
      </c>
      <c r="AZ4" s="55" t="str">
        <f t="shared" si="199"/>
        <v>S</v>
      </c>
      <c r="BA4" s="53" t="str">
        <f t="shared" si="199"/>
        <v>M</v>
      </c>
      <c r="BB4" s="54" t="str">
        <f t="shared" si="199"/>
        <v>T</v>
      </c>
      <c r="BC4" s="54" t="str">
        <f t="shared" si="199"/>
        <v>W</v>
      </c>
      <c r="BD4" s="54" t="str">
        <f t="shared" si="199"/>
        <v>T</v>
      </c>
      <c r="BE4" s="54" t="str">
        <f t="shared" si="199"/>
        <v>F</v>
      </c>
      <c r="BF4" s="54" t="str">
        <f t="shared" si="199"/>
        <v>S</v>
      </c>
      <c r="BG4" s="55" t="str">
        <f t="shared" si="199"/>
        <v>S</v>
      </c>
      <c r="BH4" s="53" t="str">
        <f t="shared" si="199"/>
        <v>M</v>
      </c>
      <c r="BI4" s="54" t="str">
        <f t="shared" si="199"/>
        <v>T</v>
      </c>
      <c r="BJ4" s="54" t="str">
        <f t="shared" si="199"/>
        <v>W</v>
      </c>
      <c r="BK4" s="54" t="str">
        <f t="shared" si="199"/>
        <v>T</v>
      </c>
      <c r="BL4" s="54" t="str">
        <f t="shared" si="199"/>
        <v>F</v>
      </c>
      <c r="BM4" s="54" t="str">
        <f t="shared" si="199"/>
        <v>S</v>
      </c>
      <c r="BN4" s="55" t="str">
        <f t="shared" si="199"/>
        <v>S</v>
      </c>
      <c r="BO4" s="53" t="str">
        <f t="shared" ref="BO4:BU4" si="200">CHOOSE(WEEKDAY(BO3,1),"S","M","T","W","T","F","S")</f>
        <v>M</v>
      </c>
      <c r="BP4" s="54" t="str">
        <f t="shared" si="200"/>
        <v>T</v>
      </c>
      <c r="BQ4" s="54" t="str">
        <f t="shared" si="200"/>
        <v>W</v>
      </c>
      <c r="BR4" s="54" t="str">
        <f t="shared" si="200"/>
        <v>T</v>
      </c>
      <c r="BS4" s="54" t="str">
        <f t="shared" si="200"/>
        <v>F</v>
      </c>
      <c r="BT4" s="54" t="str">
        <f t="shared" si="200"/>
        <v>S</v>
      </c>
      <c r="BU4" s="55" t="str">
        <f t="shared" si="200"/>
        <v>S</v>
      </c>
      <c r="BV4" s="53" t="str">
        <f t="shared" ref="BV4:EG4" si="201">CHOOSE(WEEKDAY(BV3,1),"S","M","T","W","T","F","S")</f>
        <v>M</v>
      </c>
      <c r="BW4" s="54" t="str">
        <f t="shared" si="201"/>
        <v>T</v>
      </c>
      <c r="BX4" s="54" t="str">
        <f t="shared" si="201"/>
        <v>W</v>
      </c>
      <c r="BY4" s="54" t="str">
        <f t="shared" si="201"/>
        <v>T</v>
      </c>
      <c r="BZ4" s="54" t="str">
        <f t="shared" si="201"/>
        <v>F</v>
      </c>
      <c r="CA4" s="54" t="str">
        <f t="shared" si="201"/>
        <v>S</v>
      </c>
      <c r="CB4" s="55" t="str">
        <f t="shared" si="201"/>
        <v>S</v>
      </c>
      <c r="CC4" s="53" t="str">
        <f t="shared" si="201"/>
        <v>M</v>
      </c>
      <c r="CD4" s="54" t="str">
        <f t="shared" si="201"/>
        <v>T</v>
      </c>
      <c r="CE4" s="54" t="str">
        <f t="shared" si="201"/>
        <v>W</v>
      </c>
      <c r="CF4" s="54" t="str">
        <f t="shared" si="201"/>
        <v>T</v>
      </c>
      <c r="CG4" s="54" t="str">
        <f t="shared" si="201"/>
        <v>F</v>
      </c>
      <c r="CH4" s="54" t="str">
        <f t="shared" si="201"/>
        <v>S</v>
      </c>
      <c r="CI4" s="55" t="str">
        <f t="shared" si="201"/>
        <v>S</v>
      </c>
      <c r="CJ4" s="53" t="str">
        <f t="shared" si="201"/>
        <v>M</v>
      </c>
      <c r="CK4" s="54" t="str">
        <f t="shared" si="201"/>
        <v>T</v>
      </c>
      <c r="CL4" s="54" t="str">
        <f t="shared" si="201"/>
        <v>W</v>
      </c>
      <c r="CM4" s="54" t="str">
        <f t="shared" si="201"/>
        <v>T</v>
      </c>
      <c r="CN4" s="54" t="str">
        <f t="shared" si="201"/>
        <v>F</v>
      </c>
      <c r="CO4" s="54" t="str">
        <f t="shared" si="201"/>
        <v>S</v>
      </c>
      <c r="CP4" s="55" t="str">
        <f t="shared" si="201"/>
        <v>S</v>
      </c>
      <c r="CQ4" s="53" t="str">
        <f t="shared" si="201"/>
        <v>M</v>
      </c>
      <c r="CR4" s="54" t="str">
        <f t="shared" si="201"/>
        <v>T</v>
      </c>
      <c r="CS4" s="54" t="str">
        <f t="shared" si="201"/>
        <v>W</v>
      </c>
      <c r="CT4" s="54" t="str">
        <f t="shared" si="201"/>
        <v>T</v>
      </c>
      <c r="CU4" s="54" t="str">
        <f t="shared" si="201"/>
        <v>F</v>
      </c>
      <c r="CV4" s="54" t="str">
        <f t="shared" si="201"/>
        <v>S</v>
      </c>
      <c r="CW4" s="55" t="str">
        <f t="shared" si="201"/>
        <v>S</v>
      </c>
      <c r="CX4" s="53" t="str">
        <f t="shared" si="201"/>
        <v>M</v>
      </c>
      <c r="CY4" s="54" t="str">
        <f t="shared" si="201"/>
        <v>T</v>
      </c>
      <c r="CZ4" s="54" t="str">
        <f t="shared" si="201"/>
        <v>W</v>
      </c>
      <c r="DA4" s="54" t="str">
        <f t="shared" si="201"/>
        <v>T</v>
      </c>
      <c r="DB4" s="54" t="str">
        <f t="shared" si="201"/>
        <v>F</v>
      </c>
      <c r="DC4" s="54" t="str">
        <f t="shared" si="201"/>
        <v>S</v>
      </c>
      <c r="DD4" s="55" t="str">
        <f t="shared" si="201"/>
        <v>S</v>
      </c>
      <c r="DE4" s="53" t="str">
        <f t="shared" si="201"/>
        <v>M</v>
      </c>
      <c r="DF4" s="54" t="str">
        <f t="shared" si="201"/>
        <v>T</v>
      </c>
      <c r="DG4" s="54" t="str">
        <f t="shared" si="201"/>
        <v>W</v>
      </c>
      <c r="DH4" s="54" t="str">
        <f t="shared" si="201"/>
        <v>T</v>
      </c>
      <c r="DI4" s="54" t="str">
        <f t="shared" si="201"/>
        <v>F</v>
      </c>
      <c r="DJ4" s="54" t="str">
        <f t="shared" si="201"/>
        <v>S</v>
      </c>
      <c r="DK4" s="55" t="str">
        <f t="shared" si="201"/>
        <v>S</v>
      </c>
      <c r="DL4" s="53" t="str">
        <f t="shared" si="201"/>
        <v>M</v>
      </c>
      <c r="DM4" s="54" t="str">
        <f t="shared" si="201"/>
        <v>T</v>
      </c>
      <c r="DN4" s="54" t="str">
        <f t="shared" si="201"/>
        <v>W</v>
      </c>
      <c r="DO4" s="54" t="str">
        <f t="shared" si="201"/>
        <v>T</v>
      </c>
      <c r="DP4" s="54" t="str">
        <f t="shared" si="201"/>
        <v>F</v>
      </c>
      <c r="DQ4" s="54" t="str">
        <f t="shared" si="201"/>
        <v>S</v>
      </c>
      <c r="DR4" s="55" t="str">
        <f t="shared" si="201"/>
        <v>S</v>
      </c>
      <c r="DS4" s="53" t="str">
        <f t="shared" si="201"/>
        <v>M</v>
      </c>
      <c r="DT4" s="54" t="str">
        <f t="shared" si="201"/>
        <v>T</v>
      </c>
      <c r="DU4" s="54" t="str">
        <f t="shared" si="201"/>
        <v>W</v>
      </c>
      <c r="DV4" s="54" t="str">
        <f t="shared" si="201"/>
        <v>T</v>
      </c>
      <c r="DW4" s="54" t="str">
        <f t="shared" si="201"/>
        <v>F</v>
      </c>
      <c r="DX4" s="54" t="str">
        <f t="shared" si="201"/>
        <v>S</v>
      </c>
      <c r="DY4" s="55" t="str">
        <f t="shared" si="201"/>
        <v>S</v>
      </c>
      <c r="DZ4" s="53" t="str">
        <f t="shared" si="201"/>
        <v>M</v>
      </c>
      <c r="EA4" s="54" t="str">
        <f t="shared" si="201"/>
        <v>T</v>
      </c>
      <c r="EB4" s="54" t="str">
        <f t="shared" si="201"/>
        <v>W</v>
      </c>
      <c r="EC4" s="54" t="str">
        <f t="shared" si="201"/>
        <v>T</v>
      </c>
      <c r="ED4" s="54" t="str">
        <f t="shared" si="201"/>
        <v>F</v>
      </c>
      <c r="EE4" s="54" t="str">
        <f t="shared" si="201"/>
        <v>S</v>
      </c>
      <c r="EF4" s="55" t="str">
        <f t="shared" si="201"/>
        <v>S</v>
      </c>
      <c r="EG4" s="53" t="str">
        <f t="shared" si="201"/>
        <v>M</v>
      </c>
      <c r="EH4" s="54" t="str">
        <f t="shared" ref="EH4:GS4" si="202">CHOOSE(WEEKDAY(EH3,1),"S","M","T","W","T","F","S")</f>
        <v>T</v>
      </c>
      <c r="EI4" s="54" t="str">
        <f t="shared" si="202"/>
        <v>W</v>
      </c>
      <c r="EJ4" s="54" t="str">
        <f t="shared" si="202"/>
        <v>T</v>
      </c>
      <c r="EK4" s="54" t="str">
        <f t="shared" si="202"/>
        <v>F</v>
      </c>
      <c r="EL4" s="54" t="str">
        <f t="shared" si="202"/>
        <v>S</v>
      </c>
      <c r="EM4" s="55" t="str">
        <f t="shared" si="202"/>
        <v>S</v>
      </c>
      <c r="EN4" s="53" t="str">
        <f t="shared" si="202"/>
        <v>M</v>
      </c>
      <c r="EO4" s="54" t="str">
        <f t="shared" si="202"/>
        <v>T</v>
      </c>
      <c r="EP4" s="54" t="str">
        <f t="shared" si="202"/>
        <v>W</v>
      </c>
      <c r="EQ4" s="54" t="str">
        <f t="shared" si="202"/>
        <v>T</v>
      </c>
      <c r="ER4" s="54" t="str">
        <f t="shared" si="202"/>
        <v>F</v>
      </c>
      <c r="ES4" s="54" t="str">
        <f t="shared" si="202"/>
        <v>S</v>
      </c>
      <c r="ET4" s="55" t="str">
        <f t="shared" si="202"/>
        <v>S</v>
      </c>
      <c r="EU4" s="53" t="str">
        <f t="shared" si="202"/>
        <v>M</v>
      </c>
      <c r="EV4" s="54" t="str">
        <f t="shared" si="202"/>
        <v>T</v>
      </c>
      <c r="EW4" s="54" t="str">
        <f t="shared" si="202"/>
        <v>W</v>
      </c>
      <c r="EX4" s="54" t="str">
        <f t="shared" si="202"/>
        <v>T</v>
      </c>
      <c r="EY4" s="54" t="str">
        <f t="shared" si="202"/>
        <v>F</v>
      </c>
      <c r="EZ4" s="54" t="str">
        <f t="shared" si="202"/>
        <v>S</v>
      </c>
      <c r="FA4" s="55" t="str">
        <f t="shared" si="202"/>
        <v>S</v>
      </c>
      <c r="FB4" s="53" t="str">
        <f t="shared" si="202"/>
        <v>M</v>
      </c>
      <c r="FC4" s="54" t="str">
        <f t="shared" si="202"/>
        <v>T</v>
      </c>
      <c r="FD4" s="54" t="str">
        <f t="shared" si="202"/>
        <v>W</v>
      </c>
      <c r="FE4" s="54" t="str">
        <f t="shared" si="202"/>
        <v>T</v>
      </c>
      <c r="FF4" s="54" t="str">
        <f t="shared" si="202"/>
        <v>F</v>
      </c>
      <c r="FG4" s="54" t="str">
        <f t="shared" si="202"/>
        <v>S</v>
      </c>
      <c r="FH4" s="55" t="str">
        <f t="shared" si="202"/>
        <v>S</v>
      </c>
      <c r="FI4" s="53" t="str">
        <f t="shared" si="202"/>
        <v>M</v>
      </c>
      <c r="FJ4" s="54" t="str">
        <f t="shared" si="202"/>
        <v>T</v>
      </c>
      <c r="FK4" s="54" t="str">
        <f t="shared" si="202"/>
        <v>W</v>
      </c>
      <c r="FL4" s="54" t="str">
        <f t="shared" si="202"/>
        <v>T</v>
      </c>
      <c r="FM4" s="54" t="str">
        <f t="shared" si="202"/>
        <v>F</v>
      </c>
      <c r="FN4" s="54" t="str">
        <f t="shared" si="202"/>
        <v>S</v>
      </c>
      <c r="FO4" s="55" t="str">
        <f t="shared" si="202"/>
        <v>S</v>
      </c>
      <c r="FP4" s="53" t="str">
        <f t="shared" si="202"/>
        <v>M</v>
      </c>
      <c r="FQ4" s="54" t="str">
        <f t="shared" si="202"/>
        <v>T</v>
      </c>
      <c r="FR4" s="54" t="str">
        <f t="shared" si="202"/>
        <v>W</v>
      </c>
      <c r="FS4" s="54" t="str">
        <f t="shared" si="202"/>
        <v>T</v>
      </c>
      <c r="FT4" s="54" t="str">
        <f t="shared" si="202"/>
        <v>F</v>
      </c>
      <c r="FU4" s="54" t="str">
        <f t="shared" si="202"/>
        <v>S</v>
      </c>
      <c r="FV4" s="55" t="str">
        <f t="shared" si="202"/>
        <v>S</v>
      </c>
      <c r="FW4" s="53" t="str">
        <f t="shared" si="202"/>
        <v>M</v>
      </c>
      <c r="FX4" s="54" t="str">
        <f t="shared" si="202"/>
        <v>T</v>
      </c>
      <c r="FY4" s="54" t="str">
        <f t="shared" si="202"/>
        <v>W</v>
      </c>
      <c r="FZ4" s="54" t="str">
        <f t="shared" si="202"/>
        <v>T</v>
      </c>
      <c r="GA4" s="54" t="str">
        <f t="shared" si="202"/>
        <v>F</v>
      </c>
      <c r="GB4" s="54" t="str">
        <f t="shared" si="202"/>
        <v>S</v>
      </c>
      <c r="GC4" s="55" t="str">
        <f t="shared" si="202"/>
        <v>S</v>
      </c>
      <c r="GD4" s="53" t="str">
        <f t="shared" si="202"/>
        <v>M</v>
      </c>
      <c r="GE4" s="54" t="str">
        <f t="shared" si="202"/>
        <v>T</v>
      </c>
      <c r="GF4" s="54" t="str">
        <f t="shared" si="202"/>
        <v>W</v>
      </c>
      <c r="GG4" s="54" t="str">
        <f t="shared" si="202"/>
        <v>T</v>
      </c>
      <c r="GH4" s="54" t="str">
        <f t="shared" si="202"/>
        <v>F</v>
      </c>
      <c r="GI4" s="54" t="str">
        <f t="shared" si="202"/>
        <v>S</v>
      </c>
      <c r="GJ4" s="55" t="str">
        <f t="shared" si="202"/>
        <v>S</v>
      </c>
      <c r="GK4" s="53" t="str">
        <f t="shared" si="202"/>
        <v>M</v>
      </c>
      <c r="GL4" s="54" t="str">
        <f t="shared" si="202"/>
        <v>T</v>
      </c>
      <c r="GM4" s="54" t="str">
        <f t="shared" si="202"/>
        <v>W</v>
      </c>
      <c r="GN4" s="54" t="str">
        <f t="shared" si="202"/>
        <v>T</v>
      </c>
      <c r="GO4" s="54" t="str">
        <f t="shared" si="202"/>
        <v>F</v>
      </c>
      <c r="GP4" s="54" t="str">
        <f t="shared" si="202"/>
        <v>S</v>
      </c>
      <c r="GQ4" s="55" t="str">
        <f t="shared" si="202"/>
        <v>S</v>
      </c>
      <c r="GR4" s="53" t="str">
        <f t="shared" si="202"/>
        <v>M</v>
      </c>
      <c r="GS4" s="54" t="str">
        <f t="shared" si="202"/>
        <v>T</v>
      </c>
      <c r="GT4" s="54" t="str">
        <f t="shared" ref="GT4:JB4" si="203">CHOOSE(WEEKDAY(GT3,1),"S","M","T","W","T","F","S")</f>
        <v>W</v>
      </c>
      <c r="GU4" s="54" t="str">
        <f t="shared" si="203"/>
        <v>T</v>
      </c>
      <c r="GV4" s="54" t="str">
        <f t="shared" si="203"/>
        <v>F</v>
      </c>
      <c r="GW4" s="54" t="str">
        <f t="shared" si="203"/>
        <v>S</v>
      </c>
      <c r="GX4" s="55" t="str">
        <f t="shared" si="203"/>
        <v>S</v>
      </c>
      <c r="GY4" s="53" t="str">
        <f t="shared" si="203"/>
        <v>M</v>
      </c>
      <c r="GZ4" s="54" t="str">
        <f t="shared" si="203"/>
        <v>T</v>
      </c>
      <c r="HA4" s="54" t="str">
        <f t="shared" si="203"/>
        <v>W</v>
      </c>
      <c r="HB4" s="54" t="str">
        <f t="shared" si="203"/>
        <v>T</v>
      </c>
      <c r="HC4" s="54" t="str">
        <f t="shared" si="203"/>
        <v>F</v>
      </c>
      <c r="HD4" s="54" t="str">
        <f t="shared" si="203"/>
        <v>S</v>
      </c>
      <c r="HE4" s="55" t="str">
        <f t="shared" si="203"/>
        <v>S</v>
      </c>
      <c r="HF4" s="53" t="str">
        <f t="shared" si="203"/>
        <v>M</v>
      </c>
      <c r="HG4" s="54" t="str">
        <f t="shared" si="203"/>
        <v>T</v>
      </c>
      <c r="HH4" s="54" t="str">
        <f t="shared" si="203"/>
        <v>W</v>
      </c>
      <c r="HI4" s="54" t="str">
        <f t="shared" si="203"/>
        <v>T</v>
      </c>
      <c r="HJ4" s="54" t="str">
        <f t="shared" si="203"/>
        <v>F</v>
      </c>
      <c r="HK4" s="54" t="str">
        <f t="shared" si="203"/>
        <v>S</v>
      </c>
      <c r="HL4" s="55" t="str">
        <f t="shared" si="203"/>
        <v>S</v>
      </c>
      <c r="HM4" s="53" t="str">
        <f t="shared" si="203"/>
        <v>M</v>
      </c>
      <c r="HN4" s="54" t="str">
        <f t="shared" si="203"/>
        <v>T</v>
      </c>
      <c r="HO4" s="54" t="str">
        <f t="shared" si="203"/>
        <v>W</v>
      </c>
      <c r="HP4" s="54" t="str">
        <f t="shared" si="203"/>
        <v>T</v>
      </c>
      <c r="HQ4" s="54" t="str">
        <f t="shared" si="203"/>
        <v>F</v>
      </c>
      <c r="HR4" s="54" t="str">
        <f t="shared" si="203"/>
        <v>S</v>
      </c>
      <c r="HS4" s="55" t="str">
        <f t="shared" si="203"/>
        <v>S</v>
      </c>
      <c r="HT4" s="53" t="str">
        <f t="shared" si="203"/>
        <v>M</v>
      </c>
      <c r="HU4" s="54" t="str">
        <f t="shared" si="203"/>
        <v>T</v>
      </c>
      <c r="HV4" s="54" t="str">
        <f t="shared" si="203"/>
        <v>W</v>
      </c>
      <c r="HW4" s="54" t="str">
        <f t="shared" si="203"/>
        <v>T</v>
      </c>
      <c r="HX4" s="54" t="str">
        <f t="shared" si="203"/>
        <v>F</v>
      </c>
      <c r="HY4" s="54" t="str">
        <f t="shared" si="203"/>
        <v>S</v>
      </c>
      <c r="HZ4" s="55" t="str">
        <f t="shared" si="203"/>
        <v>S</v>
      </c>
      <c r="IA4" s="53" t="str">
        <f t="shared" si="203"/>
        <v>M</v>
      </c>
      <c r="IB4" s="54" t="str">
        <f t="shared" si="203"/>
        <v>T</v>
      </c>
      <c r="IC4" s="54" t="str">
        <f t="shared" si="203"/>
        <v>W</v>
      </c>
      <c r="ID4" s="54" t="str">
        <f t="shared" si="203"/>
        <v>T</v>
      </c>
      <c r="IE4" s="54" t="str">
        <f t="shared" si="203"/>
        <v>F</v>
      </c>
      <c r="IF4" s="54" t="str">
        <f t="shared" si="203"/>
        <v>S</v>
      </c>
      <c r="IG4" s="55" t="str">
        <f t="shared" si="203"/>
        <v>S</v>
      </c>
      <c r="IH4" s="53" t="str">
        <f t="shared" si="203"/>
        <v>M</v>
      </c>
      <c r="II4" s="54" t="str">
        <f t="shared" si="203"/>
        <v>T</v>
      </c>
      <c r="IJ4" s="54" t="str">
        <f t="shared" si="203"/>
        <v>W</v>
      </c>
      <c r="IK4" s="54" t="str">
        <f t="shared" si="203"/>
        <v>T</v>
      </c>
      <c r="IL4" s="54" t="str">
        <f t="shared" si="203"/>
        <v>F</v>
      </c>
      <c r="IM4" s="54" t="str">
        <f t="shared" si="203"/>
        <v>S</v>
      </c>
      <c r="IN4" s="55" t="str">
        <f t="shared" si="203"/>
        <v>S</v>
      </c>
      <c r="IO4" s="53" t="str">
        <f t="shared" si="203"/>
        <v>M</v>
      </c>
      <c r="IP4" s="54" t="str">
        <f t="shared" si="203"/>
        <v>T</v>
      </c>
      <c r="IQ4" s="54" t="str">
        <f t="shared" si="203"/>
        <v>W</v>
      </c>
      <c r="IR4" s="54" t="str">
        <f t="shared" si="203"/>
        <v>T</v>
      </c>
      <c r="IS4" s="54" t="str">
        <f t="shared" si="203"/>
        <v>F</v>
      </c>
      <c r="IT4" s="54" t="str">
        <f t="shared" si="203"/>
        <v>S</v>
      </c>
      <c r="IU4" s="55" t="str">
        <f t="shared" si="203"/>
        <v>S</v>
      </c>
      <c r="IV4" s="53" t="str">
        <f t="shared" si="203"/>
        <v>M</v>
      </c>
      <c r="IW4" s="54" t="str">
        <f t="shared" si="203"/>
        <v>T</v>
      </c>
      <c r="IX4" s="54" t="str">
        <f t="shared" si="203"/>
        <v>W</v>
      </c>
      <c r="IY4" s="54" t="str">
        <f t="shared" si="203"/>
        <v>T</v>
      </c>
      <c r="IZ4" s="54" t="str">
        <f t="shared" si="203"/>
        <v>F</v>
      </c>
      <c r="JA4" s="54" t="str">
        <f t="shared" si="203"/>
        <v>S</v>
      </c>
      <c r="JB4" s="55" t="str">
        <f t="shared" si="203"/>
        <v>S</v>
      </c>
      <c r="JG4" s="86"/>
    </row>
    <row r="5" spans="1:267" s="4" customFormat="1" ht="13.8" collapsed="1" x14ac:dyDescent="0.25">
      <c r="A5" s="66" t="str">
        <f>IF(ISERROR(VALUE(SUBSTITUTE(prevWBS,".",""))),"1",IF(ISERROR(FIND("`",SUBSTITUTE(prevWBS,".","`",1))),TEXT(VALUE(prevWBS)+1,"#"),TEXT(VALUE(LEFT(prevWBS,FIND("`",SUBSTITUTE(prevWBS,".","`",1))-1))+1,"#")))</f>
        <v>1</v>
      </c>
      <c r="B5" s="94" cm="1">
        <f t="array" ref="B5">FindColor(A5)</f>
        <v>15</v>
      </c>
      <c r="C5" s="66" t="s">
        <v>21</v>
      </c>
      <c r="D5" s="30"/>
      <c r="E5" s="31"/>
      <c r="F5" s="32"/>
      <c r="G5" s="48" t="str">
        <f>IF(ISBLANK(F5)," - ",IF(H5=0,F5,F5+H5-1))</f>
        <v xml:space="preserve"> - </v>
      </c>
      <c r="H5" s="33"/>
      <c r="I5" s="34"/>
      <c r="J5" s="35" t="str">
        <f t="shared" ref="J5:J98" si="204">IF(OR(G5=0,F5=0)," - ",NETWORKDAYS(F5,G5))</f>
        <v xml:space="preserve"> - </v>
      </c>
      <c r="K5" s="44"/>
      <c r="L5" s="44"/>
      <c r="M5" s="44"/>
      <c r="N5" s="44"/>
      <c r="O5" s="44"/>
      <c r="P5" s="44"/>
      <c r="Q5" s="44"/>
      <c r="R5" s="65"/>
      <c r="S5" s="65"/>
      <c r="T5" s="109"/>
      <c r="U5" s="109"/>
      <c r="V5" s="44"/>
      <c r="W5" s="44"/>
      <c r="X5" s="44"/>
      <c r="Y5" s="44"/>
      <c r="Z5" s="44"/>
      <c r="AA5" s="44"/>
      <c r="AB5" s="44"/>
      <c r="AC5" s="44"/>
      <c r="AD5" s="44"/>
      <c r="AE5" s="44"/>
      <c r="AF5" s="44"/>
      <c r="AG5" s="44"/>
      <c r="AH5" s="44"/>
      <c r="AI5" s="44"/>
      <c r="AJ5" s="44"/>
      <c r="AK5" s="44"/>
      <c r="AL5" s="44"/>
      <c r="AM5" s="44"/>
      <c r="AN5" s="44"/>
      <c r="AO5" s="44"/>
      <c r="AP5" s="44"/>
      <c r="AQ5" s="44"/>
      <c r="AR5" s="44"/>
      <c r="AS5" s="44"/>
      <c r="AT5" s="44"/>
      <c r="AU5" s="44"/>
      <c r="AV5" s="44"/>
      <c r="AW5" s="44"/>
      <c r="AX5" s="44"/>
      <c r="AY5" s="44"/>
      <c r="AZ5" s="44"/>
      <c r="BA5" s="44"/>
      <c r="BB5" s="44"/>
      <c r="BC5" s="44"/>
      <c r="BD5" s="44"/>
      <c r="BE5" s="44"/>
      <c r="BF5" s="44"/>
      <c r="BG5" s="44"/>
      <c r="BH5" s="44"/>
      <c r="BI5" s="44"/>
      <c r="BJ5" s="44"/>
      <c r="BK5" s="44"/>
      <c r="BL5" s="44"/>
      <c r="BM5" s="44"/>
      <c r="BN5" s="44"/>
      <c r="BO5" s="44"/>
      <c r="BP5" s="44"/>
      <c r="BQ5" s="44"/>
      <c r="BR5" s="44"/>
      <c r="BS5" s="44"/>
      <c r="BT5" s="44"/>
      <c r="BU5" s="44"/>
      <c r="BV5" s="44"/>
      <c r="BW5" s="44"/>
      <c r="BX5" s="44"/>
      <c r="BY5" s="44"/>
      <c r="BZ5" s="44"/>
      <c r="CA5" s="44"/>
      <c r="CB5" s="44"/>
      <c r="CC5" s="44"/>
      <c r="CD5" s="44"/>
      <c r="CE5" s="44"/>
      <c r="CF5" s="44"/>
      <c r="CG5" s="44"/>
      <c r="CH5" s="44"/>
      <c r="CI5" s="44"/>
      <c r="CJ5" s="44"/>
      <c r="CK5" s="44"/>
      <c r="CL5" s="44"/>
      <c r="CM5" s="44"/>
      <c r="CN5" s="44"/>
      <c r="CO5" s="44"/>
      <c r="CP5" s="44"/>
      <c r="CQ5" s="44"/>
      <c r="CR5" s="44"/>
      <c r="CS5" s="44"/>
      <c r="CT5" s="44"/>
      <c r="CU5" s="44"/>
      <c r="CV5" s="44"/>
      <c r="CW5" s="44"/>
      <c r="CX5" s="44"/>
      <c r="CY5" s="44"/>
      <c r="CZ5" s="44"/>
      <c r="DA5" s="44"/>
      <c r="DB5" s="44"/>
      <c r="DC5" s="44"/>
      <c r="DD5" s="44"/>
      <c r="DE5" s="44"/>
      <c r="DF5" s="44"/>
      <c r="DG5" s="44"/>
      <c r="DH5" s="44"/>
      <c r="DI5" s="44"/>
      <c r="DJ5" s="44"/>
      <c r="DK5" s="44"/>
      <c r="DL5" s="44"/>
      <c r="DM5" s="44"/>
      <c r="DN5" s="44"/>
      <c r="DO5" s="44"/>
      <c r="DP5" s="44"/>
      <c r="DQ5" s="44"/>
      <c r="DR5" s="44"/>
      <c r="DS5" s="44"/>
      <c r="DT5" s="44"/>
      <c r="DU5" s="44"/>
      <c r="DV5" s="44"/>
      <c r="DW5" s="44"/>
      <c r="DX5" s="44"/>
      <c r="DY5" s="44"/>
      <c r="DZ5" s="44"/>
      <c r="EA5" s="44"/>
      <c r="EB5" s="44"/>
      <c r="EC5" s="44"/>
      <c r="ED5" s="44"/>
      <c r="EE5" s="44"/>
      <c r="EF5" s="44"/>
      <c r="EG5" s="44"/>
      <c r="EH5" s="44"/>
      <c r="EI5" s="44"/>
      <c r="EJ5" s="44"/>
      <c r="EK5" s="44"/>
      <c r="EL5" s="44"/>
      <c r="EM5" s="44"/>
      <c r="EN5" s="44"/>
      <c r="EO5" s="44"/>
      <c r="EP5" s="44"/>
      <c r="EQ5" s="44"/>
      <c r="ER5" s="44"/>
      <c r="ES5" s="44"/>
      <c r="ET5" s="44"/>
      <c r="EU5" s="44"/>
      <c r="EV5" s="44"/>
      <c r="EW5" s="44"/>
      <c r="EX5" s="44"/>
      <c r="EY5" s="44"/>
      <c r="EZ5" s="44"/>
      <c r="FA5" s="44"/>
      <c r="FB5" s="44"/>
      <c r="FC5" s="44"/>
      <c r="FD5" s="44"/>
      <c r="FE5" s="44"/>
      <c r="FF5" s="44"/>
      <c r="FG5" s="44"/>
      <c r="FH5" s="44"/>
      <c r="FI5" s="44"/>
      <c r="FJ5" s="44"/>
      <c r="FK5" s="44"/>
      <c r="FL5" s="44"/>
      <c r="FM5" s="44"/>
      <c r="FN5" s="44"/>
      <c r="FO5" s="44"/>
      <c r="FP5" s="44"/>
      <c r="FQ5" s="44"/>
      <c r="FR5" s="44"/>
      <c r="FS5" s="44"/>
      <c r="FT5" s="44"/>
      <c r="FU5" s="44"/>
      <c r="FV5" s="44"/>
      <c r="FW5" s="44"/>
      <c r="FX5" s="44"/>
      <c r="FY5" s="44"/>
      <c r="FZ5" s="44"/>
      <c r="GA5" s="44"/>
      <c r="GB5" s="44"/>
      <c r="GC5" s="44"/>
      <c r="GD5" s="44"/>
      <c r="GE5" s="44"/>
      <c r="GF5" s="44"/>
      <c r="GG5" s="44"/>
      <c r="GH5" s="44"/>
      <c r="GI5" s="44"/>
      <c r="GJ5" s="44"/>
      <c r="GK5" s="44"/>
      <c r="GL5" s="44"/>
      <c r="GM5" s="44"/>
      <c r="GN5" s="44"/>
      <c r="GO5" s="44"/>
      <c r="GP5" s="44"/>
      <c r="GQ5" s="44"/>
      <c r="GR5" s="44"/>
      <c r="GS5" s="44"/>
      <c r="GT5" s="44"/>
      <c r="GU5" s="44"/>
      <c r="GV5" s="44"/>
      <c r="GW5" s="44"/>
      <c r="GX5" s="44"/>
      <c r="GY5" s="44"/>
      <c r="GZ5" s="44"/>
      <c r="HA5" s="44"/>
      <c r="HB5" s="44"/>
      <c r="HC5" s="44"/>
      <c r="HD5" s="44"/>
      <c r="HE5" s="44"/>
      <c r="HF5" s="44"/>
      <c r="HG5" s="44"/>
      <c r="HH5" s="44"/>
      <c r="HI5" s="44"/>
      <c r="HJ5" s="44"/>
      <c r="HK5" s="44"/>
      <c r="HL5" s="44"/>
      <c r="HM5" s="44"/>
      <c r="HN5" s="44"/>
      <c r="HO5" s="44"/>
      <c r="HP5" s="44"/>
      <c r="HQ5" s="44"/>
      <c r="HR5" s="44"/>
      <c r="HS5" s="44"/>
      <c r="HT5" s="44"/>
      <c r="HU5" s="44"/>
      <c r="HV5" s="44"/>
      <c r="HW5" s="44"/>
      <c r="HX5" s="44"/>
      <c r="HY5" s="44"/>
      <c r="HZ5" s="44"/>
      <c r="IA5" s="44"/>
      <c r="IB5" s="44"/>
      <c r="IC5" s="44"/>
      <c r="ID5" s="44"/>
      <c r="IE5" s="44"/>
      <c r="IF5" s="44"/>
      <c r="IG5" s="44"/>
      <c r="IH5" s="44"/>
      <c r="II5" s="44"/>
      <c r="IJ5" s="44"/>
      <c r="IK5" s="44"/>
      <c r="IL5" s="44"/>
      <c r="IM5" s="44"/>
      <c r="IN5" s="44"/>
      <c r="IO5" s="44"/>
      <c r="IP5" s="44"/>
      <c r="IQ5" s="44"/>
      <c r="IR5" s="44"/>
      <c r="IS5" s="44"/>
      <c r="IT5" s="44"/>
      <c r="IU5" s="44"/>
      <c r="IV5" s="44"/>
      <c r="IW5" s="44"/>
      <c r="IX5" s="44"/>
      <c r="IY5" s="44"/>
      <c r="IZ5" s="44"/>
      <c r="JA5" s="44"/>
      <c r="JB5" s="44"/>
      <c r="JG5" s="87"/>
    </row>
    <row r="6" spans="1:267" s="10" customFormat="1" ht="13.8" hidden="1" outlineLevel="1" x14ac:dyDescent="0.25">
      <c r="A6" s="9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6" s="94" cm="1">
        <f t="array" ref="B6">FindColor(A6)</f>
        <v>35</v>
      </c>
      <c r="C6" s="56" t="s">
        <v>22</v>
      </c>
      <c r="D6" s="10" t="s">
        <v>4</v>
      </c>
      <c r="E6" s="57"/>
      <c r="F6" s="38">
        <v>43129</v>
      </c>
      <c r="G6" s="39">
        <f>IF(ISBLANK(F6)," - ",IF(H6=0,F6,F6+H6-1))</f>
        <v>43133</v>
      </c>
      <c r="H6" s="11">
        <v>5</v>
      </c>
      <c r="I6" s="12">
        <v>1</v>
      </c>
      <c r="J6" s="13">
        <f t="shared" si="204"/>
        <v>5</v>
      </c>
      <c r="K6" s="9"/>
      <c r="L6" s="9"/>
      <c r="M6" s="9"/>
      <c r="N6" s="9"/>
      <c r="O6" s="9"/>
      <c r="P6" s="9"/>
      <c r="Q6" s="9"/>
      <c r="R6" s="65"/>
      <c r="S6" s="65"/>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9"/>
      <c r="GE6" s="9"/>
      <c r="GF6" s="9"/>
      <c r="GG6" s="9"/>
      <c r="GH6" s="9"/>
      <c r="GI6" s="9"/>
      <c r="GJ6" s="9"/>
      <c r="GK6" s="9"/>
      <c r="GL6" s="9"/>
      <c r="GM6" s="9"/>
      <c r="GN6" s="9"/>
      <c r="GO6" s="9"/>
      <c r="GP6" s="9"/>
      <c r="GQ6" s="9"/>
      <c r="GR6" s="9"/>
      <c r="GS6" s="9"/>
      <c r="GT6" s="9"/>
      <c r="GU6" s="9"/>
      <c r="GV6" s="9"/>
      <c r="GW6" s="9"/>
      <c r="GX6" s="9"/>
      <c r="GY6" s="9"/>
      <c r="GZ6" s="9"/>
      <c r="HA6" s="9"/>
      <c r="HB6" s="9"/>
      <c r="HC6" s="9"/>
      <c r="HD6" s="9"/>
      <c r="HE6" s="9"/>
      <c r="HF6" s="9"/>
      <c r="HG6" s="9"/>
      <c r="HH6" s="9"/>
      <c r="HI6" s="9"/>
      <c r="HJ6" s="9"/>
      <c r="HK6" s="9"/>
      <c r="HL6" s="9"/>
      <c r="HM6" s="9"/>
      <c r="HN6" s="9"/>
      <c r="HO6" s="9"/>
      <c r="HP6" s="9"/>
      <c r="HQ6" s="9"/>
      <c r="HR6" s="9"/>
      <c r="HS6" s="9"/>
      <c r="HT6" s="9"/>
      <c r="HU6" s="9"/>
      <c r="HV6" s="9"/>
      <c r="HW6" s="9"/>
      <c r="HX6" s="9"/>
      <c r="HY6" s="9"/>
      <c r="HZ6" s="9"/>
      <c r="IA6" s="9"/>
      <c r="IB6" s="9"/>
      <c r="IC6" s="9"/>
      <c r="ID6" s="9"/>
      <c r="IE6" s="9"/>
      <c r="IF6" s="9"/>
      <c r="IG6" s="9"/>
      <c r="IH6" s="9"/>
      <c r="II6" s="9"/>
      <c r="IJ6" s="9"/>
      <c r="IK6" s="9"/>
      <c r="IL6" s="9"/>
      <c r="IM6" s="9"/>
      <c r="IN6" s="9"/>
      <c r="IO6" s="9"/>
      <c r="IP6" s="9"/>
      <c r="IQ6" s="9"/>
      <c r="IR6" s="9"/>
      <c r="IS6" s="9"/>
      <c r="IT6" s="9"/>
      <c r="IU6" s="9"/>
      <c r="IV6" s="9"/>
      <c r="IW6" s="9"/>
      <c r="IX6" s="9"/>
      <c r="IY6" s="9"/>
      <c r="IZ6" s="9"/>
      <c r="JA6" s="9"/>
      <c r="JB6" s="9"/>
      <c r="JG6" s="88"/>
    </row>
    <row r="7" spans="1:267" s="10" customFormat="1" ht="13.8" hidden="1" outlineLevel="1" x14ac:dyDescent="0.25">
      <c r="A7" s="9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7" s="94" cm="1">
        <f t="array" ref="B7">FindColor(A7)</f>
        <v>24</v>
      </c>
      <c r="C7" s="118" t="s">
        <v>25</v>
      </c>
      <c r="E7" s="59"/>
      <c r="F7" s="60"/>
      <c r="G7" s="61"/>
      <c r="H7" s="62"/>
      <c r="I7" s="63"/>
      <c r="J7" s="64"/>
      <c r="K7" s="9"/>
      <c r="L7" s="9"/>
      <c r="M7" s="9"/>
      <c r="N7" s="9"/>
      <c r="O7" s="9"/>
      <c r="P7" s="9"/>
      <c r="Q7" s="9"/>
      <c r="R7" s="65"/>
      <c r="S7" s="65"/>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B7" s="9"/>
      <c r="JG7" s="88"/>
    </row>
    <row r="8" spans="1:267" s="10" customFormat="1" ht="13.8" hidden="1" outlineLevel="1" x14ac:dyDescent="0.25">
      <c r="A8" s="9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v>
      </c>
      <c r="B8" s="94" cm="1">
        <f t="array" ref="B8">FindColor(A8)</f>
        <v>35</v>
      </c>
      <c r="C8" s="56" t="s">
        <v>23</v>
      </c>
      <c r="E8" s="59"/>
      <c r="F8" s="60"/>
      <c r="G8" s="61"/>
      <c r="H8" s="62"/>
      <c r="I8" s="63"/>
      <c r="J8" s="64"/>
      <c r="K8" s="9"/>
      <c r="L8" s="9"/>
      <c r="M8" s="9"/>
      <c r="N8" s="9"/>
      <c r="O8" s="9"/>
      <c r="P8" s="9"/>
      <c r="Q8" s="9"/>
      <c r="R8" s="9"/>
      <c r="S8" s="65"/>
      <c r="T8" s="65"/>
      <c r="U8" s="65"/>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B8" s="9"/>
      <c r="JG8" s="88"/>
    </row>
    <row r="9" spans="1:267" s="10" customFormat="1" ht="13.8" hidden="1" outlineLevel="1" x14ac:dyDescent="0.25">
      <c r="A9" s="9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1.2.1</v>
      </c>
      <c r="B9" s="94" cm="1">
        <f t="array" ref="B9">FindColor(A9)</f>
        <v>24</v>
      </c>
      <c r="C9" s="118" t="s">
        <v>34</v>
      </c>
      <c r="E9" s="59"/>
      <c r="F9" s="60"/>
      <c r="G9" s="61"/>
      <c r="H9" s="62"/>
      <c r="I9" s="63"/>
      <c r="J9" s="64"/>
      <c r="K9" s="9"/>
      <c r="L9" s="9"/>
      <c r="M9" s="9"/>
      <c r="N9" s="9"/>
      <c r="O9" s="9"/>
      <c r="P9" s="9"/>
      <c r="Q9" s="9"/>
      <c r="R9" s="9"/>
      <c r="S9" s="65"/>
      <c r="T9" s="65"/>
      <c r="U9" s="65"/>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9"/>
      <c r="GE9" s="9"/>
      <c r="GF9" s="9"/>
      <c r="GG9" s="9"/>
      <c r="GH9" s="9"/>
      <c r="GI9" s="9"/>
      <c r="GJ9" s="9"/>
      <c r="GK9" s="9"/>
      <c r="GL9" s="9"/>
      <c r="GM9" s="9"/>
      <c r="GN9" s="9"/>
      <c r="GO9" s="9"/>
      <c r="GP9" s="9"/>
      <c r="GQ9" s="9"/>
      <c r="GR9" s="9"/>
      <c r="GS9" s="9"/>
      <c r="GT9" s="9"/>
      <c r="GU9" s="9"/>
      <c r="GV9" s="9"/>
      <c r="GW9" s="9"/>
      <c r="GX9" s="9"/>
      <c r="GY9" s="9"/>
      <c r="GZ9" s="9"/>
      <c r="HA9" s="9"/>
      <c r="HB9" s="9"/>
      <c r="HC9" s="9"/>
      <c r="HD9" s="9"/>
      <c r="HE9" s="9"/>
      <c r="HF9" s="9"/>
      <c r="HG9" s="9"/>
      <c r="HH9" s="9"/>
      <c r="HI9" s="9"/>
      <c r="HJ9" s="9"/>
      <c r="HK9" s="9"/>
      <c r="HL9" s="9"/>
      <c r="HM9" s="9"/>
      <c r="HN9" s="9"/>
      <c r="HO9" s="9"/>
      <c r="HP9" s="9"/>
      <c r="HQ9" s="9"/>
      <c r="HR9" s="9"/>
      <c r="HS9" s="9"/>
      <c r="HT9" s="9"/>
      <c r="HU9" s="9"/>
      <c r="HV9" s="9"/>
      <c r="HW9" s="9"/>
      <c r="HX9" s="9"/>
      <c r="HY9" s="9"/>
      <c r="HZ9" s="9"/>
      <c r="IA9" s="9"/>
      <c r="IB9" s="9"/>
      <c r="IC9" s="9"/>
      <c r="ID9" s="9"/>
      <c r="IE9" s="9"/>
      <c r="IF9" s="9"/>
      <c r="IG9" s="9"/>
      <c r="IH9" s="9"/>
      <c r="II9" s="9"/>
      <c r="IJ9" s="9"/>
      <c r="IK9" s="9"/>
      <c r="IL9" s="9"/>
      <c r="IM9" s="9"/>
      <c r="IN9" s="9"/>
      <c r="IO9" s="9"/>
      <c r="IP9" s="9"/>
      <c r="IQ9" s="9"/>
      <c r="IR9" s="9"/>
      <c r="IS9" s="9"/>
      <c r="IT9" s="9"/>
      <c r="IU9" s="9"/>
      <c r="IV9" s="9"/>
      <c r="IW9" s="9"/>
      <c r="IX9" s="9"/>
      <c r="IY9" s="9"/>
      <c r="IZ9" s="9"/>
      <c r="JA9" s="9"/>
      <c r="JB9" s="9"/>
      <c r="JG9" s="88"/>
    </row>
    <row r="10" spans="1:267" s="10" customFormat="1" ht="13.8" hidden="1" outlineLevel="1" x14ac:dyDescent="0.25">
      <c r="A10" s="9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v>
      </c>
      <c r="B10" s="94" cm="1">
        <f t="array" ref="B10">FindColor(A10)</f>
        <v>35</v>
      </c>
      <c r="C10" s="56" t="s">
        <v>24</v>
      </c>
      <c r="E10" s="59"/>
      <c r="F10" s="60"/>
      <c r="G10" s="61"/>
      <c r="H10" s="62"/>
      <c r="I10" s="63"/>
      <c r="J10" s="64"/>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c r="BS10" s="9"/>
      <c r="BT10" s="9"/>
      <c r="BU10" s="9"/>
      <c r="BV10" s="9"/>
      <c r="BW10" s="9"/>
      <c r="BX10" s="9"/>
      <c r="BY10" s="9"/>
      <c r="BZ10" s="9"/>
      <c r="CA10" s="9"/>
      <c r="CB10" s="9"/>
      <c r="CC10" s="9"/>
      <c r="CD10" s="9"/>
      <c r="CE10" s="9"/>
      <c r="CF10" s="9"/>
      <c r="CG10" s="9"/>
      <c r="CH10" s="9"/>
      <c r="CI10" s="9"/>
      <c r="CJ10" s="9"/>
      <c r="CK10" s="9"/>
      <c r="CL10" s="9"/>
      <c r="CM10" s="9"/>
      <c r="CN10" s="9"/>
      <c r="CO10" s="9"/>
      <c r="CP10" s="9"/>
      <c r="CQ10" s="9"/>
      <c r="CR10" s="9"/>
      <c r="CS10" s="9"/>
      <c r="CT10" s="9"/>
      <c r="CU10" s="9"/>
      <c r="CV10" s="9"/>
      <c r="CW10" s="9"/>
      <c r="CX10" s="9"/>
      <c r="CY10" s="9"/>
      <c r="CZ10" s="9"/>
      <c r="DA10" s="9"/>
      <c r="DB10" s="9"/>
      <c r="DC10" s="9"/>
      <c r="DD10" s="9"/>
      <c r="DE10" s="9"/>
      <c r="DF10" s="9"/>
      <c r="DG10" s="9"/>
      <c r="DH10" s="9"/>
      <c r="DI10" s="9"/>
      <c r="DJ10" s="9"/>
      <c r="DK10" s="9"/>
      <c r="DL10" s="9"/>
      <c r="DM10" s="9"/>
      <c r="DN10" s="9"/>
      <c r="DO10" s="9"/>
      <c r="DP10" s="9"/>
      <c r="DQ10" s="9"/>
      <c r="DR10" s="9"/>
      <c r="DS10" s="9"/>
      <c r="DT10" s="9"/>
      <c r="DU10" s="9"/>
      <c r="DV10" s="9"/>
      <c r="DW10" s="9"/>
      <c r="DX10" s="9"/>
      <c r="DY10" s="9"/>
      <c r="DZ10" s="9"/>
      <c r="EA10" s="9"/>
      <c r="EB10" s="9"/>
      <c r="EC10" s="9"/>
      <c r="ED10" s="9"/>
      <c r="EE10" s="9"/>
      <c r="EF10" s="9"/>
      <c r="EG10" s="9"/>
      <c r="EH10" s="9"/>
      <c r="EI10" s="9"/>
      <c r="EJ10" s="9"/>
      <c r="EK10" s="9"/>
      <c r="EL10" s="9"/>
      <c r="EM10" s="9"/>
      <c r="EN10" s="9"/>
      <c r="EO10" s="9"/>
      <c r="EP10" s="9"/>
      <c r="EQ10" s="9"/>
      <c r="ER10" s="9"/>
      <c r="ES10" s="9"/>
      <c r="ET10" s="9"/>
      <c r="EU10" s="9"/>
      <c r="EV10" s="9"/>
      <c r="EW10" s="9"/>
      <c r="EX10" s="9"/>
      <c r="EY10" s="9"/>
      <c r="EZ10" s="9"/>
      <c r="FA10" s="9"/>
      <c r="FB10" s="9"/>
      <c r="FC10" s="9"/>
      <c r="FD10" s="9"/>
      <c r="FE10" s="9"/>
      <c r="FF10" s="9"/>
      <c r="FG10" s="9"/>
      <c r="FH10" s="9"/>
      <c r="FI10" s="9"/>
      <c r="FJ10" s="9"/>
      <c r="FK10" s="9"/>
      <c r="FL10" s="9"/>
      <c r="FM10" s="9"/>
      <c r="FN10" s="9"/>
      <c r="FO10" s="9"/>
      <c r="FP10" s="9"/>
      <c r="FQ10" s="9"/>
      <c r="FR10" s="9"/>
      <c r="FS10" s="9"/>
      <c r="FT10" s="9"/>
      <c r="FU10" s="9"/>
      <c r="FV10" s="9"/>
      <c r="FW10" s="9"/>
      <c r="FX10" s="9"/>
      <c r="FY10" s="9"/>
      <c r="FZ10" s="9"/>
      <c r="GA10" s="9"/>
      <c r="GB10" s="9"/>
      <c r="GC10" s="9"/>
      <c r="GD10" s="9"/>
      <c r="GE10" s="9"/>
      <c r="GF10" s="9"/>
      <c r="GG10" s="9"/>
      <c r="GH10" s="9"/>
      <c r="GI10" s="9"/>
      <c r="GJ10" s="9"/>
      <c r="GK10" s="9"/>
      <c r="GL10" s="9"/>
      <c r="GM10" s="9"/>
      <c r="GN10" s="9"/>
      <c r="GO10" s="9"/>
      <c r="GP10" s="9"/>
      <c r="GQ10" s="9"/>
      <c r="GR10" s="9"/>
      <c r="GS10" s="9"/>
      <c r="GT10" s="9"/>
      <c r="GU10" s="9"/>
      <c r="GV10" s="9"/>
      <c r="GW10" s="9"/>
      <c r="GX10" s="9"/>
      <c r="GY10" s="9"/>
      <c r="GZ10" s="9"/>
      <c r="HA10" s="9"/>
      <c r="HB10" s="9"/>
      <c r="HC10" s="9"/>
      <c r="HD10" s="9"/>
      <c r="HE10" s="9"/>
      <c r="HF10" s="9"/>
      <c r="HG10" s="9"/>
      <c r="HH10" s="9"/>
      <c r="HI10" s="9"/>
      <c r="HJ10" s="9"/>
      <c r="HK10" s="9"/>
      <c r="HL10" s="9"/>
      <c r="HM10" s="9"/>
      <c r="HN10" s="9"/>
      <c r="HO10" s="9"/>
      <c r="HP10" s="9"/>
      <c r="HQ10" s="9"/>
      <c r="HR10" s="9"/>
      <c r="HS10" s="9"/>
      <c r="HT10" s="9"/>
      <c r="HU10" s="9"/>
      <c r="HV10" s="9"/>
      <c r="HW10" s="9"/>
      <c r="HX10" s="9"/>
      <c r="HY10" s="9"/>
      <c r="HZ10" s="9"/>
      <c r="IA10" s="9"/>
      <c r="IB10" s="9"/>
      <c r="IC10" s="9"/>
      <c r="ID10" s="9"/>
      <c r="IE10" s="9"/>
      <c r="IF10" s="9"/>
      <c r="IG10" s="9"/>
      <c r="IH10" s="9"/>
      <c r="II10" s="9"/>
      <c r="IJ10" s="9"/>
      <c r="IK10" s="9"/>
      <c r="IL10" s="9"/>
      <c r="IM10" s="9"/>
      <c r="IN10" s="9"/>
      <c r="IO10" s="9"/>
      <c r="IP10" s="9"/>
      <c r="IQ10" s="9"/>
      <c r="IR10" s="9"/>
      <c r="IS10" s="9"/>
      <c r="IT10" s="9"/>
      <c r="IU10" s="9"/>
      <c r="IV10" s="9"/>
      <c r="IW10" s="9"/>
      <c r="IX10" s="9"/>
      <c r="IY10" s="9"/>
      <c r="IZ10" s="9"/>
      <c r="JA10" s="9"/>
      <c r="JB10" s="9"/>
      <c r="JG10" s="88"/>
    </row>
    <row r="11" spans="1:267" s="4" customFormat="1" ht="13.8" collapsed="1" x14ac:dyDescent="0.25">
      <c r="A11" s="3" t="str">
        <f>IF(ISERROR(VALUE(SUBSTITUTE(prevWBS,".",""))),"1",IF(ISERROR(FIND("`",SUBSTITUTE(prevWBS,".","`",1))),TEXT(VALUE(prevWBS)+1,"#"),TEXT(VALUE(LEFT(prevWBS,FIND("`",SUBSTITUTE(prevWBS,".","`",1))-1))+1,"#")))</f>
        <v>2</v>
      </c>
      <c r="B11" s="94" cm="1">
        <f t="array" ref="B11">FindColor(A11)</f>
        <v>15</v>
      </c>
      <c r="C11" s="67" t="s">
        <v>56</v>
      </c>
      <c r="E11" s="5"/>
      <c r="F11" s="40"/>
      <c r="G11" s="40" t="str">
        <f t="shared" ref="G11:G13" si="205">IF(ISBLANK(F11)," - ",IF(H11=0,F11,F11+H11-1))</f>
        <v xml:space="preserve"> - </v>
      </c>
      <c r="H11" s="6"/>
      <c r="I11" s="7"/>
      <c r="J11" s="8" t="str">
        <f t="shared" ref="J11:J13" si="206">IF(OR(G11=0,F11=0)," - ",NETWORKDAYS(F11,G11))</f>
        <v xml:space="preserve"> - </v>
      </c>
      <c r="K11" s="45"/>
      <c r="L11" s="45"/>
      <c r="M11" s="45"/>
      <c r="N11" s="45"/>
      <c r="O11" s="45"/>
      <c r="P11" s="45"/>
      <c r="Q11" s="45"/>
      <c r="R11" s="45"/>
      <c r="S11" s="45"/>
      <c r="T11" s="45"/>
      <c r="U11" s="45"/>
      <c r="V11" s="65"/>
      <c r="W11" s="65"/>
      <c r="X11" s="6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c r="BB11" s="45"/>
      <c r="BC11" s="45"/>
      <c r="BD11" s="45"/>
      <c r="BE11" s="45"/>
      <c r="BF11" s="45"/>
      <c r="BG11" s="45"/>
      <c r="BH11" s="45"/>
      <c r="BI11" s="45"/>
      <c r="BJ11" s="45"/>
      <c r="BK11" s="45"/>
      <c r="BL11" s="45"/>
      <c r="BM11" s="45"/>
      <c r="BN11" s="45"/>
      <c r="BO11" s="45"/>
      <c r="BP11" s="45"/>
      <c r="BQ11" s="45"/>
      <c r="BR11" s="45"/>
      <c r="BS11" s="45"/>
      <c r="BT11" s="45"/>
      <c r="BU11" s="45"/>
      <c r="BV11" s="45"/>
      <c r="BW11" s="45"/>
      <c r="BX11" s="45"/>
      <c r="BY11" s="45"/>
      <c r="BZ11" s="45"/>
      <c r="CA11" s="45"/>
      <c r="CB11" s="45"/>
      <c r="CC11" s="45"/>
      <c r="CD11" s="45"/>
      <c r="CE11" s="45"/>
      <c r="CF11" s="45"/>
      <c r="CG11" s="45"/>
      <c r="CH11" s="45"/>
      <c r="CI11" s="45"/>
      <c r="CJ11" s="45"/>
      <c r="CK11" s="45"/>
      <c r="CL11" s="45"/>
      <c r="CM11" s="45"/>
      <c r="CN11" s="45"/>
      <c r="CO11" s="45"/>
      <c r="CP11" s="45"/>
      <c r="CQ11" s="45"/>
      <c r="CR11" s="45"/>
      <c r="CS11" s="45"/>
      <c r="CT11" s="45"/>
      <c r="CU11" s="45"/>
      <c r="CV11" s="45"/>
      <c r="CW11" s="45"/>
      <c r="CX11" s="45"/>
      <c r="CY11" s="45"/>
      <c r="CZ11" s="45"/>
      <c r="DA11" s="45"/>
      <c r="DB11" s="45"/>
      <c r="DC11" s="45"/>
      <c r="DD11" s="45"/>
      <c r="DE11" s="45"/>
      <c r="DF11" s="45"/>
      <c r="DG11" s="45"/>
      <c r="DH11" s="45"/>
      <c r="DI11" s="45"/>
      <c r="DJ11" s="45"/>
      <c r="DK11" s="45"/>
      <c r="DL11" s="45"/>
      <c r="DM11" s="45"/>
      <c r="DN11" s="45"/>
      <c r="DO11" s="45"/>
      <c r="DP11" s="45"/>
      <c r="DQ11" s="45"/>
      <c r="DR11" s="45"/>
      <c r="DS11" s="45"/>
      <c r="DT11" s="45"/>
      <c r="DU11" s="45"/>
      <c r="DV11" s="45"/>
      <c r="DW11" s="45"/>
      <c r="DX11" s="45"/>
      <c r="DY11" s="45"/>
      <c r="DZ11" s="45"/>
      <c r="EA11" s="45"/>
      <c r="EB11" s="45"/>
      <c r="EC11" s="45"/>
      <c r="ED11" s="45"/>
      <c r="EE11" s="45"/>
      <c r="EF11" s="45"/>
      <c r="EG11" s="45"/>
      <c r="EH11" s="45"/>
      <c r="EI11" s="45"/>
      <c r="EJ11" s="45"/>
      <c r="EK11" s="45"/>
      <c r="EL11" s="45"/>
      <c r="EM11" s="45"/>
      <c r="EN11" s="45"/>
      <c r="EO11" s="45"/>
      <c r="EP11" s="45"/>
      <c r="EQ11" s="45"/>
      <c r="ER11" s="45"/>
      <c r="ES11" s="45"/>
      <c r="ET11" s="45"/>
      <c r="EU11" s="45"/>
      <c r="EV11" s="45"/>
      <c r="EW11" s="45"/>
      <c r="EX11" s="45"/>
      <c r="EY11" s="45"/>
      <c r="EZ11" s="45"/>
      <c r="FA11" s="45"/>
      <c r="FB11" s="45"/>
      <c r="FC11" s="45"/>
      <c r="FD11" s="45"/>
      <c r="FE11" s="45"/>
      <c r="FF11" s="45"/>
      <c r="FG11" s="45"/>
      <c r="FH11" s="45"/>
      <c r="FI11" s="45"/>
      <c r="FJ11" s="45"/>
      <c r="FK11" s="45"/>
      <c r="FL11" s="45"/>
      <c r="FM11" s="45"/>
      <c r="FN11" s="45"/>
      <c r="FO11" s="45"/>
      <c r="FP11" s="45"/>
      <c r="FQ11" s="45"/>
      <c r="FR11" s="45"/>
      <c r="FS11" s="45"/>
      <c r="FT11" s="45"/>
      <c r="FU11" s="45"/>
      <c r="FV11" s="45"/>
      <c r="FW11" s="45"/>
      <c r="FX11" s="45"/>
      <c r="FY11" s="45"/>
      <c r="FZ11" s="45"/>
      <c r="GA11" s="45"/>
      <c r="GB11" s="45"/>
      <c r="GC11" s="45"/>
      <c r="GD11" s="45"/>
      <c r="GE11" s="45"/>
      <c r="GF11" s="45"/>
      <c r="GG11" s="45"/>
      <c r="GH11" s="45"/>
      <c r="GI11" s="45"/>
      <c r="GJ11" s="45"/>
      <c r="GK11" s="45"/>
      <c r="GL11" s="45"/>
      <c r="GM11" s="45"/>
      <c r="GN11" s="45"/>
      <c r="GO11" s="45"/>
      <c r="GP11" s="45"/>
      <c r="GQ11" s="45"/>
      <c r="GR11" s="45"/>
      <c r="GS11" s="45"/>
      <c r="GT11" s="45"/>
      <c r="GU11" s="45"/>
      <c r="GV11" s="45"/>
      <c r="GW11" s="45"/>
      <c r="GX11" s="45"/>
      <c r="GY11" s="45"/>
      <c r="GZ11" s="45"/>
      <c r="HA11" s="45"/>
      <c r="HB11" s="45"/>
      <c r="HC11" s="45"/>
      <c r="HD11" s="45"/>
      <c r="HE11" s="45"/>
      <c r="HF11" s="45"/>
      <c r="HG11" s="45"/>
      <c r="HH11" s="45"/>
      <c r="HI11" s="45"/>
      <c r="HJ11" s="45"/>
      <c r="HK11" s="45"/>
      <c r="HL11" s="45"/>
      <c r="HM11" s="45"/>
      <c r="HN11" s="45"/>
      <c r="HO11" s="45"/>
      <c r="HP11" s="45"/>
      <c r="HQ11" s="45"/>
      <c r="HR11" s="45"/>
      <c r="HS11" s="45"/>
      <c r="HT11" s="45"/>
      <c r="HU11" s="45"/>
      <c r="HV11" s="45"/>
      <c r="HW11" s="45"/>
      <c r="HX11" s="45"/>
      <c r="HY11" s="45"/>
      <c r="HZ11" s="45"/>
      <c r="IA11" s="45"/>
      <c r="IB11" s="45"/>
      <c r="IC11" s="45"/>
      <c r="ID11" s="45"/>
      <c r="IE11" s="45"/>
      <c r="IF11" s="45"/>
      <c r="IG11" s="45"/>
      <c r="IH11" s="45"/>
      <c r="II11" s="45"/>
      <c r="IJ11" s="45"/>
      <c r="IK11" s="45"/>
      <c r="IL11" s="45"/>
      <c r="IM11" s="45"/>
      <c r="IN11" s="45"/>
      <c r="IO11" s="45"/>
      <c r="IP11" s="45"/>
      <c r="IQ11" s="45"/>
      <c r="IR11" s="45"/>
      <c r="IS11" s="45"/>
      <c r="IT11" s="45"/>
      <c r="IU11" s="45"/>
      <c r="IV11" s="45"/>
      <c r="IW11" s="45"/>
      <c r="IX11" s="45"/>
      <c r="IY11" s="45"/>
      <c r="IZ11" s="45"/>
      <c r="JA11" s="45"/>
      <c r="JB11" s="45"/>
      <c r="JG11" s="87"/>
    </row>
    <row r="12" spans="1:267" s="10" customFormat="1" ht="13.8" hidden="1" outlineLevel="1" x14ac:dyDescent="0.25">
      <c r="A12" s="9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12" s="94" cm="1">
        <f t="array" ref="B12">FindColor(A12)</f>
        <v>35</v>
      </c>
      <c r="C12" s="117" t="s">
        <v>57</v>
      </c>
      <c r="E12" s="57"/>
      <c r="F12" s="38">
        <v>43129</v>
      </c>
      <c r="G12" s="39">
        <f t="shared" si="205"/>
        <v>43129</v>
      </c>
      <c r="H12" s="11">
        <v>1</v>
      </c>
      <c r="I12" s="12">
        <v>0</v>
      </c>
      <c r="J12" s="13">
        <f t="shared" si="206"/>
        <v>1</v>
      </c>
      <c r="K12" s="9"/>
      <c r="L12" s="9"/>
      <c r="M12" s="9"/>
      <c r="N12" s="9"/>
      <c r="O12" s="9"/>
      <c r="P12" s="9"/>
      <c r="Q12" s="9"/>
      <c r="R12" s="9"/>
      <c r="S12" s="9"/>
      <c r="T12" s="9"/>
      <c r="U12" s="9"/>
      <c r="V12" s="65"/>
      <c r="W12" s="65"/>
      <c r="X12" s="65"/>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9"/>
      <c r="FR12" s="9"/>
      <c r="FS12" s="9"/>
      <c r="FT12" s="9"/>
      <c r="FU12" s="9"/>
      <c r="FV12" s="9"/>
      <c r="FW12" s="9"/>
      <c r="FX12" s="9"/>
      <c r="FY12" s="9"/>
      <c r="FZ12" s="9"/>
      <c r="GA12" s="9"/>
      <c r="GB12" s="9"/>
      <c r="GC12" s="9"/>
      <c r="GD12" s="9"/>
      <c r="GE12" s="9"/>
      <c r="GF12" s="9"/>
      <c r="GG12" s="9"/>
      <c r="GH12" s="9"/>
      <c r="GI12" s="9"/>
      <c r="GJ12" s="9"/>
      <c r="GK12" s="9"/>
      <c r="GL12" s="9"/>
      <c r="GM12" s="9"/>
      <c r="GN12" s="9"/>
      <c r="GO12" s="9"/>
      <c r="GP12" s="9"/>
      <c r="GQ12" s="9"/>
      <c r="GR12" s="9"/>
      <c r="GS12" s="9"/>
      <c r="GT12" s="9"/>
      <c r="GU12" s="9"/>
      <c r="GV12" s="9"/>
      <c r="GW12" s="9"/>
      <c r="GX12" s="9"/>
      <c r="GY12" s="9"/>
      <c r="GZ12" s="9"/>
      <c r="HA12" s="9"/>
      <c r="HB12" s="9"/>
      <c r="HC12" s="9"/>
      <c r="HD12" s="9"/>
      <c r="HE12" s="9"/>
      <c r="HF12" s="9"/>
      <c r="HG12" s="9"/>
      <c r="HH12" s="9"/>
      <c r="HI12" s="9"/>
      <c r="HJ12" s="9"/>
      <c r="HK12" s="9"/>
      <c r="HL12" s="9"/>
      <c r="HM12" s="9"/>
      <c r="HN12" s="9"/>
      <c r="HO12" s="9"/>
      <c r="HP12" s="9"/>
      <c r="HQ12" s="9"/>
      <c r="HR12" s="9"/>
      <c r="HS12" s="9"/>
      <c r="HT12" s="9"/>
      <c r="HU12" s="9"/>
      <c r="HV12" s="9"/>
      <c r="HW12" s="9"/>
      <c r="HX12" s="9"/>
      <c r="HY12" s="9"/>
      <c r="HZ12" s="9"/>
      <c r="IA12" s="9"/>
      <c r="IB12" s="9"/>
      <c r="IC12" s="9"/>
      <c r="ID12" s="9"/>
      <c r="IE12" s="9"/>
      <c r="IF12" s="9"/>
      <c r="IG12" s="9"/>
      <c r="IH12" s="9"/>
      <c r="II12" s="9"/>
      <c r="IJ12" s="9"/>
      <c r="IK12" s="9"/>
      <c r="IL12" s="9"/>
      <c r="IM12" s="9"/>
      <c r="IN12" s="9"/>
      <c r="IO12" s="9"/>
      <c r="IP12" s="9"/>
      <c r="IQ12" s="9"/>
      <c r="IR12" s="9"/>
      <c r="IS12" s="9"/>
      <c r="IT12" s="9"/>
      <c r="IU12" s="9"/>
      <c r="IV12" s="9"/>
      <c r="IW12" s="9"/>
      <c r="IX12" s="9"/>
      <c r="IY12" s="9"/>
      <c r="IZ12" s="9"/>
      <c r="JA12" s="9"/>
      <c r="JB12" s="9"/>
      <c r="JG12" s="88"/>
    </row>
    <row r="13" spans="1:267" s="10" customFormat="1" ht="13.8" hidden="1" outlineLevel="1" x14ac:dyDescent="0.25">
      <c r="A13" s="9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2.1.1</v>
      </c>
      <c r="B13" s="94" cm="1">
        <f t="array" ref="B13">FindColor(A13)</f>
        <v>24</v>
      </c>
      <c r="C13" s="118" t="s">
        <v>58</v>
      </c>
      <c r="E13" s="57"/>
      <c r="F13" s="38">
        <v>43129</v>
      </c>
      <c r="G13" s="39">
        <f t="shared" si="205"/>
        <v>43129</v>
      </c>
      <c r="H13" s="11">
        <v>1</v>
      </c>
      <c r="I13" s="12">
        <v>0</v>
      </c>
      <c r="J13" s="13">
        <f t="shared" si="206"/>
        <v>1</v>
      </c>
      <c r="K13" s="9"/>
      <c r="L13" s="9"/>
      <c r="M13" s="9"/>
      <c r="N13" s="9"/>
      <c r="O13" s="9"/>
      <c r="P13" s="9"/>
      <c r="Q13" s="9"/>
      <c r="R13" s="9"/>
      <c r="S13" s="9"/>
      <c r="T13" s="9"/>
      <c r="U13" s="9"/>
      <c r="V13" s="65"/>
      <c r="W13" s="65"/>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9"/>
      <c r="FR13" s="9"/>
      <c r="FS13" s="9"/>
      <c r="FT13" s="9"/>
      <c r="FU13" s="9"/>
      <c r="FV13" s="9"/>
      <c r="FW13" s="9"/>
      <c r="FX13" s="9"/>
      <c r="FY13" s="9"/>
      <c r="FZ13" s="9"/>
      <c r="GA13" s="9"/>
      <c r="GB13" s="9"/>
      <c r="GC13" s="9"/>
      <c r="GD13" s="9"/>
      <c r="GE13" s="9"/>
      <c r="GF13" s="9"/>
      <c r="GG13" s="9"/>
      <c r="GH13" s="9"/>
      <c r="GI13" s="9"/>
      <c r="GJ13" s="9"/>
      <c r="GK13" s="9"/>
      <c r="GL13" s="9"/>
      <c r="GM13" s="9"/>
      <c r="GN13" s="9"/>
      <c r="GO13" s="9"/>
      <c r="GP13" s="9"/>
      <c r="GQ13" s="9"/>
      <c r="GR13" s="9"/>
      <c r="GS13" s="9"/>
      <c r="GT13" s="9"/>
      <c r="GU13" s="9"/>
      <c r="GV13" s="9"/>
      <c r="GW13" s="9"/>
      <c r="GX13" s="9"/>
      <c r="GY13" s="9"/>
      <c r="GZ13" s="9"/>
      <c r="HA13" s="9"/>
      <c r="HB13" s="9"/>
      <c r="HC13" s="9"/>
      <c r="HD13" s="9"/>
      <c r="HE13" s="9"/>
      <c r="HF13" s="9"/>
      <c r="HG13" s="9"/>
      <c r="HH13" s="9"/>
      <c r="HI13" s="9"/>
      <c r="HJ13" s="9"/>
      <c r="HK13" s="9"/>
      <c r="HL13" s="9"/>
      <c r="HM13" s="9"/>
      <c r="HN13" s="9"/>
      <c r="HO13" s="9"/>
      <c r="HP13" s="9"/>
      <c r="HQ13" s="9"/>
      <c r="HR13" s="9"/>
      <c r="HS13" s="9"/>
      <c r="HT13" s="9"/>
      <c r="HU13" s="9"/>
      <c r="HV13" s="9"/>
      <c r="HW13" s="9"/>
      <c r="HX13" s="9"/>
      <c r="HY13" s="9"/>
      <c r="HZ13" s="9"/>
      <c r="IA13" s="9"/>
      <c r="IB13" s="9"/>
      <c r="IC13" s="9"/>
      <c r="ID13" s="9"/>
      <c r="IE13" s="9"/>
      <c r="IF13" s="9"/>
      <c r="IG13" s="9"/>
      <c r="IH13" s="9"/>
      <c r="II13" s="9"/>
      <c r="IJ13" s="9"/>
      <c r="IK13" s="9"/>
      <c r="IL13" s="9"/>
      <c r="IM13" s="9"/>
      <c r="IN13" s="9"/>
      <c r="IO13" s="9"/>
      <c r="IP13" s="9"/>
      <c r="IQ13" s="9"/>
      <c r="IR13" s="9"/>
      <c r="IS13" s="9"/>
      <c r="IT13" s="9"/>
      <c r="IU13" s="9"/>
      <c r="IV13" s="9"/>
      <c r="IW13" s="9"/>
      <c r="IX13" s="9"/>
      <c r="IY13" s="9"/>
      <c r="IZ13" s="9"/>
      <c r="JA13" s="9"/>
      <c r="JB13" s="9"/>
      <c r="JG13" s="88"/>
    </row>
    <row r="14" spans="1:267" s="10" customFormat="1" ht="13.8" hidden="1" outlineLevel="1" x14ac:dyDescent="0.25">
      <c r="A14" s="9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2.1.2</v>
      </c>
      <c r="B14" s="94" cm="1">
        <f t="array" ref="B14">FindColor(A14)</f>
        <v>24</v>
      </c>
      <c r="C14" s="118" t="s">
        <v>59</v>
      </c>
      <c r="E14" s="57"/>
      <c r="F14" s="38">
        <v>43129</v>
      </c>
      <c r="G14" s="39">
        <f t="shared" ref="G14:G16" si="207">IF(ISBLANK(F14)," - ",IF(H14=0,F14,F14+H14-1))</f>
        <v>43129</v>
      </c>
      <c r="H14" s="11">
        <v>1</v>
      </c>
      <c r="I14" s="12">
        <v>0</v>
      </c>
      <c r="J14" s="13">
        <f t="shared" ref="J14:J16" si="208">IF(OR(G14=0,F14=0)," - ",NETWORKDAYS(F14,G14))</f>
        <v>1</v>
      </c>
      <c r="K14" s="9"/>
      <c r="L14" s="9"/>
      <c r="M14" s="9"/>
      <c r="N14" s="9"/>
      <c r="O14" s="9"/>
      <c r="P14" s="9"/>
      <c r="Q14" s="9"/>
      <c r="R14" s="9"/>
      <c r="S14" s="9"/>
      <c r="T14" s="9"/>
      <c r="U14" s="9"/>
      <c r="V14" s="9"/>
      <c r="W14" s="65"/>
      <c r="X14" s="65"/>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9"/>
      <c r="GE14" s="9"/>
      <c r="GF14" s="9"/>
      <c r="GG14" s="9"/>
      <c r="GH14" s="9"/>
      <c r="GI14" s="9"/>
      <c r="GJ14" s="9"/>
      <c r="GK14" s="9"/>
      <c r="GL14" s="9"/>
      <c r="GM14" s="9"/>
      <c r="GN14" s="9"/>
      <c r="GO14" s="9"/>
      <c r="GP14" s="9"/>
      <c r="GQ14" s="9"/>
      <c r="GR14" s="9"/>
      <c r="GS14" s="9"/>
      <c r="GT14" s="9"/>
      <c r="GU14" s="9"/>
      <c r="GV14" s="9"/>
      <c r="GW14" s="9"/>
      <c r="GX14" s="9"/>
      <c r="GY14" s="9"/>
      <c r="GZ14" s="9"/>
      <c r="HA14" s="9"/>
      <c r="HB14" s="9"/>
      <c r="HC14" s="9"/>
      <c r="HD14" s="9"/>
      <c r="HE14" s="9"/>
      <c r="HF14" s="9"/>
      <c r="HG14" s="9"/>
      <c r="HH14" s="9"/>
      <c r="HI14" s="9"/>
      <c r="HJ14" s="9"/>
      <c r="HK14" s="9"/>
      <c r="HL14" s="9"/>
      <c r="HM14" s="9"/>
      <c r="HN14" s="9"/>
      <c r="HO14" s="9"/>
      <c r="HP14" s="9"/>
      <c r="HQ14" s="9"/>
      <c r="HR14" s="9"/>
      <c r="HS14" s="9"/>
      <c r="HT14" s="9"/>
      <c r="HU14" s="9"/>
      <c r="HV14" s="9"/>
      <c r="HW14" s="9"/>
      <c r="HX14" s="9"/>
      <c r="HY14" s="9"/>
      <c r="HZ14" s="9"/>
      <c r="IA14" s="9"/>
      <c r="IB14" s="9"/>
      <c r="IC14" s="9"/>
      <c r="ID14" s="9"/>
      <c r="IE14" s="9"/>
      <c r="IF14" s="9"/>
      <c r="IG14" s="9"/>
      <c r="IH14" s="9"/>
      <c r="II14" s="9"/>
      <c r="IJ14" s="9"/>
      <c r="IK14" s="9"/>
      <c r="IL14" s="9"/>
      <c r="IM14" s="9"/>
      <c r="IN14" s="9"/>
      <c r="IO14" s="9"/>
      <c r="IP14" s="9"/>
      <c r="IQ14" s="9"/>
      <c r="IR14" s="9"/>
      <c r="IS14" s="9"/>
      <c r="IT14" s="9"/>
      <c r="IU14" s="9"/>
      <c r="IV14" s="9"/>
      <c r="IW14" s="9"/>
      <c r="IX14" s="9"/>
      <c r="IY14" s="9"/>
      <c r="IZ14" s="9"/>
      <c r="JA14" s="9"/>
      <c r="JB14" s="9"/>
      <c r="JG14" s="88"/>
    </row>
    <row r="15" spans="1:267" s="10" customFormat="1" ht="13.8" hidden="1" outlineLevel="1" x14ac:dyDescent="0.25">
      <c r="A15" s="9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2.1.3</v>
      </c>
      <c r="B15" s="94" cm="1">
        <f t="array" ref="B15">FindColor(A15)</f>
        <v>24</v>
      </c>
      <c r="C15" s="118" t="s">
        <v>60</v>
      </c>
      <c r="E15" s="57"/>
      <c r="F15" s="38">
        <v>43129</v>
      </c>
      <c r="G15" s="39">
        <f t="shared" ref="G15" si="209">IF(ISBLANK(F15)," - ",IF(H15=0,F15,F15+H15-1))</f>
        <v>43129</v>
      </c>
      <c r="H15" s="11">
        <v>1</v>
      </c>
      <c r="I15" s="12">
        <v>0</v>
      </c>
      <c r="J15" s="13">
        <f t="shared" ref="J15" si="210">IF(OR(G15=0,F15=0)," - ",NETWORKDAYS(F15,G15))</f>
        <v>1</v>
      </c>
      <c r="K15" s="9"/>
      <c r="L15" s="9"/>
      <c r="M15" s="9"/>
      <c r="N15" s="9"/>
      <c r="O15" s="9"/>
      <c r="P15" s="9"/>
      <c r="Q15" s="9"/>
      <c r="R15" s="9"/>
      <c r="S15" s="9"/>
      <c r="T15" s="9"/>
      <c r="U15" s="9"/>
      <c r="V15" s="9"/>
      <c r="W15" s="65"/>
      <c r="X15" s="65"/>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c r="HV15" s="9"/>
      <c r="HW15" s="9"/>
      <c r="HX15" s="9"/>
      <c r="HY15" s="9"/>
      <c r="HZ15" s="9"/>
      <c r="IA15" s="9"/>
      <c r="IB15" s="9"/>
      <c r="IC15" s="9"/>
      <c r="ID15" s="9"/>
      <c r="IE15" s="9"/>
      <c r="IF15" s="9"/>
      <c r="IG15" s="9"/>
      <c r="IH15" s="9"/>
      <c r="II15" s="9"/>
      <c r="IJ15" s="9"/>
      <c r="IK15" s="9"/>
      <c r="IL15" s="9"/>
      <c r="IM15" s="9"/>
      <c r="IN15" s="9"/>
      <c r="IO15" s="9"/>
      <c r="IP15" s="9"/>
      <c r="IQ15" s="9"/>
      <c r="IR15" s="9"/>
      <c r="IS15" s="9"/>
      <c r="IT15" s="9"/>
      <c r="IU15" s="9"/>
      <c r="IV15" s="9"/>
      <c r="IW15" s="9"/>
      <c r="IX15" s="9"/>
      <c r="IY15" s="9"/>
      <c r="IZ15" s="9"/>
      <c r="JA15" s="9"/>
      <c r="JB15" s="9"/>
      <c r="JG15" s="88"/>
    </row>
    <row r="16" spans="1:267" s="10" customFormat="1" ht="13.8" hidden="1" outlineLevel="1" x14ac:dyDescent="0.25">
      <c r="A16" s="9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2.1.4</v>
      </c>
      <c r="B16" s="94" cm="1">
        <f t="array" ref="B16">FindColor(A16)</f>
        <v>24</v>
      </c>
      <c r="C16" s="118" t="s">
        <v>61</v>
      </c>
      <c r="E16" s="57"/>
      <c r="F16" s="38">
        <v>43129</v>
      </c>
      <c r="G16" s="39">
        <f t="shared" si="207"/>
        <v>43129</v>
      </c>
      <c r="H16" s="11">
        <v>1</v>
      </c>
      <c r="I16" s="12">
        <v>0</v>
      </c>
      <c r="J16" s="13">
        <f t="shared" si="208"/>
        <v>1</v>
      </c>
      <c r="K16" s="9"/>
      <c r="L16" s="9"/>
      <c r="M16" s="9"/>
      <c r="N16" s="9"/>
      <c r="O16" s="9"/>
      <c r="P16" s="9"/>
      <c r="Q16" s="9"/>
      <c r="R16" s="9"/>
      <c r="S16" s="9"/>
      <c r="T16" s="9"/>
      <c r="U16" s="9"/>
      <c r="V16" s="9"/>
      <c r="W16" s="9"/>
      <c r="X16" s="65"/>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9"/>
      <c r="EY16" s="9"/>
      <c r="EZ16" s="9"/>
      <c r="FA16" s="9"/>
      <c r="FB16" s="9"/>
      <c r="FC16" s="9"/>
      <c r="FD16" s="9"/>
      <c r="FE16" s="9"/>
      <c r="FF16" s="9"/>
      <c r="FG16" s="9"/>
      <c r="FH16" s="9"/>
      <c r="FI16" s="9"/>
      <c r="FJ16" s="9"/>
      <c r="FK16" s="9"/>
      <c r="FL16" s="9"/>
      <c r="FM16" s="9"/>
      <c r="FN16" s="9"/>
      <c r="FO16" s="9"/>
      <c r="FP16" s="9"/>
      <c r="FQ16" s="9"/>
      <c r="FR16" s="9"/>
      <c r="FS16" s="9"/>
      <c r="FT16" s="9"/>
      <c r="FU16" s="9"/>
      <c r="FV16" s="9"/>
      <c r="FW16" s="9"/>
      <c r="FX16" s="9"/>
      <c r="FY16" s="9"/>
      <c r="FZ16" s="9"/>
      <c r="GA16" s="9"/>
      <c r="GB16" s="9"/>
      <c r="GC16" s="9"/>
      <c r="GD16" s="9"/>
      <c r="GE16" s="9"/>
      <c r="GF16" s="9"/>
      <c r="GG16" s="9"/>
      <c r="GH16" s="9"/>
      <c r="GI16" s="9"/>
      <c r="GJ16" s="9"/>
      <c r="GK16" s="9"/>
      <c r="GL16" s="9"/>
      <c r="GM16" s="9"/>
      <c r="GN16" s="9"/>
      <c r="GO16" s="9"/>
      <c r="GP16" s="9"/>
      <c r="GQ16" s="9"/>
      <c r="GR16" s="9"/>
      <c r="GS16" s="9"/>
      <c r="GT16" s="9"/>
      <c r="GU16" s="9"/>
      <c r="GV16" s="9"/>
      <c r="GW16" s="9"/>
      <c r="GX16" s="9"/>
      <c r="GY16" s="9"/>
      <c r="GZ16" s="9"/>
      <c r="HA16" s="9"/>
      <c r="HB16" s="9"/>
      <c r="HC16" s="9"/>
      <c r="HD16" s="9"/>
      <c r="HE16" s="9"/>
      <c r="HF16" s="9"/>
      <c r="HG16" s="9"/>
      <c r="HH16" s="9"/>
      <c r="HI16" s="9"/>
      <c r="HJ16" s="9"/>
      <c r="HK16" s="9"/>
      <c r="HL16" s="9"/>
      <c r="HM16" s="9"/>
      <c r="HN16" s="9"/>
      <c r="HO16" s="9"/>
      <c r="HP16" s="9"/>
      <c r="HQ16" s="9"/>
      <c r="HR16" s="9"/>
      <c r="HS16" s="9"/>
      <c r="HT16" s="9"/>
      <c r="HU16" s="9"/>
      <c r="HV16" s="9"/>
      <c r="HW16" s="9"/>
      <c r="HX16" s="9"/>
      <c r="HY16" s="9"/>
      <c r="HZ16" s="9"/>
      <c r="IA16" s="9"/>
      <c r="IB16" s="9"/>
      <c r="IC16" s="9"/>
      <c r="ID16" s="9"/>
      <c r="IE16" s="9"/>
      <c r="IF16" s="9"/>
      <c r="IG16" s="9"/>
      <c r="IH16" s="9"/>
      <c r="II16" s="9"/>
      <c r="IJ16" s="9"/>
      <c r="IK16" s="9"/>
      <c r="IL16" s="9"/>
      <c r="IM16" s="9"/>
      <c r="IN16" s="9"/>
      <c r="IO16" s="9"/>
      <c r="IP16" s="9"/>
      <c r="IQ16" s="9"/>
      <c r="IR16" s="9"/>
      <c r="IS16" s="9"/>
      <c r="IT16" s="9"/>
      <c r="IU16" s="9"/>
      <c r="IV16" s="9"/>
      <c r="IW16" s="9"/>
      <c r="IX16" s="9"/>
      <c r="IY16" s="9"/>
      <c r="IZ16" s="9"/>
      <c r="JA16" s="9"/>
      <c r="JB16" s="9"/>
      <c r="JG16" s="88"/>
    </row>
    <row r="17" spans="1:267" s="10" customFormat="1" ht="13.8" hidden="1" outlineLevel="1" x14ac:dyDescent="0.25">
      <c r="A17" s="9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2.1.5</v>
      </c>
      <c r="B17" s="94" cm="1">
        <f t="array" ref="B17">FindColor(A17)</f>
        <v>24</v>
      </c>
      <c r="C17" s="118" t="s">
        <v>62</v>
      </c>
      <c r="E17" s="57"/>
      <c r="F17" s="38">
        <v>43129</v>
      </c>
      <c r="G17" s="39">
        <f t="shared" ref="G17" si="211">IF(ISBLANK(F17)," - ",IF(H17=0,F17,F17+H17-1))</f>
        <v>43129</v>
      </c>
      <c r="H17" s="11">
        <v>1</v>
      </c>
      <c r="I17" s="12">
        <v>0</v>
      </c>
      <c r="J17" s="13">
        <f t="shared" ref="J17" si="212">IF(OR(G17=0,F17=0)," - ",NETWORKDAYS(F17,G17))</f>
        <v>1</v>
      </c>
      <c r="K17" s="9"/>
      <c r="L17" s="9"/>
      <c r="M17" s="9"/>
      <c r="N17" s="9"/>
      <c r="O17" s="9"/>
      <c r="P17" s="9"/>
      <c r="Q17" s="9"/>
      <c r="R17" s="9"/>
      <c r="S17" s="9"/>
      <c r="T17" s="9"/>
      <c r="U17" s="9"/>
      <c r="V17" s="9"/>
      <c r="W17" s="9"/>
      <c r="X17" s="65"/>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c r="CU17" s="9"/>
      <c r="CV17" s="9"/>
      <c r="CW17" s="9"/>
      <c r="CX17" s="9"/>
      <c r="CY17" s="9"/>
      <c r="CZ17" s="9"/>
      <c r="DA17" s="9"/>
      <c r="DB17" s="9"/>
      <c r="DC17" s="9"/>
      <c r="DD17" s="9"/>
      <c r="DE17" s="9"/>
      <c r="DF17" s="9"/>
      <c r="DG17" s="9"/>
      <c r="DH17" s="9"/>
      <c r="DI17" s="9"/>
      <c r="DJ17" s="9"/>
      <c r="DK17" s="9"/>
      <c r="DL17" s="9"/>
      <c r="DM17" s="9"/>
      <c r="DN17" s="9"/>
      <c r="DO17" s="9"/>
      <c r="DP17" s="9"/>
      <c r="DQ17" s="9"/>
      <c r="DR17" s="9"/>
      <c r="DS17" s="9"/>
      <c r="DT17" s="9"/>
      <c r="DU17" s="9"/>
      <c r="DV17" s="9"/>
      <c r="DW17" s="9"/>
      <c r="DX17" s="9"/>
      <c r="DY17" s="9"/>
      <c r="DZ17" s="9"/>
      <c r="EA17" s="9"/>
      <c r="EB17" s="9"/>
      <c r="EC17" s="9"/>
      <c r="ED17" s="9"/>
      <c r="EE17" s="9"/>
      <c r="EF17" s="9"/>
      <c r="EG17" s="9"/>
      <c r="EH17" s="9"/>
      <c r="EI17" s="9"/>
      <c r="EJ17" s="9"/>
      <c r="EK17" s="9"/>
      <c r="EL17" s="9"/>
      <c r="EM17" s="9"/>
      <c r="EN17" s="9"/>
      <c r="EO17" s="9"/>
      <c r="EP17" s="9"/>
      <c r="EQ17" s="9"/>
      <c r="ER17" s="9"/>
      <c r="ES17" s="9"/>
      <c r="ET17" s="9"/>
      <c r="EU17" s="9"/>
      <c r="EV17" s="9"/>
      <c r="EW17" s="9"/>
      <c r="EX17" s="9"/>
      <c r="EY17" s="9"/>
      <c r="EZ17" s="9"/>
      <c r="FA17" s="9"/>
      <c r="FB17" s="9"/>
      <c r="FC17" s="9"/>
      <c r="FD17" s="9"/>
      <c r="FE17" s="9"/>
      <c r="FF17" s="9"/>
      <c r="FG17" s="9"/>
      <c r="FH17" s="9"/>
      <c r="FI17" s="9"/>
      <c r="FJ17" s="9"/>
      <c r="FK17" s="9"/>
      <c r="FL17" s="9"/>
      <c r="FM17" s="9"/>
      <c r="FN17" s="9"/>
      <c r="FO17" s="9"/>
      <c r="FP17" s="9"/>
      <c r="FQ17" s="9"/>
      <c r="FR17" s="9"/>
      <c r="FS17" s="9"/>
      <c r="FT17" s="9"/>
      <c r="FU17" s="9"/>
      <c r="FV17" s="9"/>
      <c r="FW17" s="9"/>
      <c r="FX17" s="9"/>
      <c r="FY17" s="9"/>
      <c r="FZ17" s="9"/>
      <c r="GA17" s="9"/>
      <c r="GB17" s="9"/>
      <c r="GC17" s="9"/>
      <c r="GD17" s="9"/>
      <c r="GE17" s="9"/>
      <c r="GF17" s="9"/>
      <c r="GG17" s="9"/>
      <c r="GH17" s="9"/>
      <c r="GI17" s="9"/>
      <c r="GJ17" s="9"/>
      <c r="GK17" s="9"/>
      <c r="GL17" s="9"/>
      <c r="GM17" s="9"/>
      <c r="GN17" s="9"/>
      <c r="GO17" s="9"/>
      <c r="GP17" s="9"/>
      <c r="GQ17" s="9"/>
      <c r="GR17" s="9"/>
      <c r="GS17" s="9"/>
      <c r="GT17" s="9"/>
      <c r="GU17" s="9"/>
      <c r="GV17" s="9"/>
      <c r="GW17" s="9"/>
      <c r="GX17" s="9"/>
      <c r="GY17" s="9"/>
      <c r="GZ17" s="9"/>
      <c r="HA17" s="9"/>
      <c r="HB17" s="9"/>
      <c r="HC17" s="9"/>
      <c r="HD17" s="9"/>
      <c r="HE17" s="9"/>
      <c r="HF17" s="9"/>
      <c r="HG17" s="9"/>
      <c r="HH17" s="9"/>
      <c r="HI17" s="9"/>
      <c r="HJ17" s="9"/>
      <c r="HK17" s="9"/>
      <c r="HL17" s="9"/>
      <c r="HM17" s="9"/>
      <c r="HN17" s="9"/>
      <c r="HO17" s="9"/>
      <c r="HP17" s="9"/>
      <c r="HQ17" s="9"/>
      <c r="HR17" s="9"/>
      <c r="HS17" s="9"/>
      <c r="HT17" s="9"/>
      <c r="HU17" s="9"/>
      <c r="HV17" s="9"/>
      <c r="HW17" s="9"/>
      <c r="HX17" s="9"/>
      <c r="HY17" s="9"/>
      <c r="HZ17" s="9"/>
      <c r="IA17" s="9"/>
      <c r="IB17" s="9"/>
      <c r="IC17" s="9"/>
      <c r="ID17" s="9"/>
      <c r="IE17" s="9"/>
      <c r="IF17" s="9"/>
      <c r="IG17" s="9"/>
      <c r="IH17" s="9"/>
      <c r="II17" s="9"/>
      <c r="IJ17" s="9"/>
      <c r="IK17" s="9"/>
      <c r="IL17" s="9"/>
      <c r="IM17" s="9"/>
      <c r="IN17" s="9"/>
      <c r="IO17" s="9"/>
      <c r="IP17" s="9"/>
      <c r="IQ17" s="9"/>
      <c r="IR17" s="9"/>
      <c r="IS17" s="9"/>
      <c r="IT17" s="9"/>
      <c r="IU17" s="9"/>
      <c r="IV17" s="9"/>
      <c r="IW17" s="9"/>
      <c r="IX17" s="9"/>
      <c r="IY17" s="9"/>
      <c r="IZ17" s="9"/>
      <c r="JA17" s="9"/>
      <c r="JB17" s="9"/>
      <c r="JG17" s="88"/>
    </row>
    <row r="18" spans="1:267" s="4" customFormat="1" ht="13.8" collapsed="1" x14ac:dyDescent="0.25">
      <c r="A18" s="3" t="str">
        <f>IF(ISERROR(VALUE(SUBSTITUTE(prevWBS,".",""))),"1",IF(ISERROR(FIND("`",SUBSTITUTE(prevWBS,".","`",1))),TEXT(VALUE(prevWBS)+1,"#"),TEXT(VALUE(LEFT(prevWBS,FIND("`",SUBSTITUTE(prevWBS,".","`",1))-1))+1,"#")))</f>
        <v>3</v>
      </c>
      <c r="B18" s="94" cm="1">
        <f t="array" ref="B18">FindColor(A18)</f>
        <v>15</v>
      </c>
      <c r="C18" s="67" t="s">
        <v>52</v>
      </c>
      <c r="E18" s="5"/>
      <c r="F18" s="40"/>
      <c r="G18" s="40" t="str">
        <f t="shared" ref="G18:G25" si="213">IF(ISBLANK(F18)," - ",IF(H18=0,F18,F18+H18-1))</f>
        <v xml:space="preserve"> - </v>
      </c>
      <c r="H18" s="6"/>
      <c r="I18" s="7"/>
      <c r="J18" s="8" t="str">
        <f t="shared" ref="J18:J25" si="214">IF(OR(G18=0,F18=0)," - ",NETWORKDAYS(F18,G18))</f>
        <v xml:space="preserve"> - </v>
      </c>
      <c r="K18" s="45"/>
      <c r="L18" s="45"/>
      <c r="M18" s="45"/>
      <c r="N18" s="45"/>
      <c r="O18" s="45"/>
      <c r="P18" s="45"/>
      <c r="Q18" s="45"/>
      <c r="R18" s="45"/>
      <c r="S18" s="45"/>
      <c r="T18" s="45"/>
      <c r="U18" s="65"/>
      <c r="V18" s="45"/>
      <c r="W18" s="45"/>
      <c r="X18" s="45"/>
      <c r="Y18" s="65"/>
      <c r="Z18" s="65"/>
      <c r="AA18" s="45"/>
      <c r="AB18" s="65"/>
      <c r="AC18" s="65"/>
      <c r="AD18" s="45"/>
      <c r="AE18" s="45"/>
      <c r="AF18" s="45"/>
      <c r="AG18" s="45"/>
      <c r="AH18" s="65"/>
      <c r="AI18" s="65"/>
      <c r="AJ18" s="65"/>
      <c r="AK18" s="45"/>
      <c r="AL18" s="65"/>
      <c r="AM18" s="65"/>
      <c r="AN18" s="65"/>
      <c r="AO18" s="45"/>
      <c r="AP18" s="45"/>
      <c r="AQ18" s="45"/>
      <c r="AR18" s="45"/>
      <c r="AS18" s="45"/>
      <c r="AT18" s="45"/>
      <c r="AU18" s="45"/>
      <c r="AV18" s="65"/>
      <c r="AW18" s="65"/>
      <c r="AX18" s="65"/>
      <c r="AY18" s="65"/>
      <c r="AZ18" s="65"/>
      <c r="BA18" s="65"/>
      <c r="BB18" s="65"/>
      <c r="BC18" s="45"/>
      <c r="BD18" s="45"/>
      <c r="BE18" s="45"/>
      <c r="BF18" s="45"/>
      <c r="BG18" s="65"/>
      <c r="BH18" s="45"/>
      <c r="BI18" s="45"/>
      <c r="BJ18" s="45"/>
      <c r="BK18" s="45"/>
      <c r="BL18" s="45"/>
      <c r="BM18" s="45"/>
      <c r="BN18" s="45"/>
      <c r="BO18" s="45"/>
      <c r="BP18" s="45"/>
      <c r="BQ18" s="45"/>
      <c r="BR18" s="45"/>
      <c r="BS18" s="45"/>
      <c r="BT18" s="45"/>
      <c r="BU18" s="45"/>
      <c r="BV18" s="45"/>
      <c r="BW18" s="45"/>
      <c r="BX18" s="45"/>
      <c r="BY18" s="45"/>
      <c r="BZ18" s="45"/>
      <c r="CA18" s="45"/>
      <c r="CB18" s="45"/>
      <c r="CC18" s="45"/>
      <c r="CD18" s="45"/>
      <c r="CE18" s="45"/>
      <c r="CF18" s="45"/>
      <c r="CG18" s="45"/>
      <c r="CH18" s="45"/>
      <c r="CI18" s="45"/>
      <c r="CJ18" s="45"/>
      <c r="CK18" s="45"/>
      <c r="CL18" s="45"/>
      <c r="CM18" s="45"/>
      <c r="CN18" s="45"/>
      <c r="CO18" s="45"/>
      <c r="CP18" s="45"/>
      <c r="CQ18" s="45"/>
      <c r="CR18" s="45"/>
      <c r="CS18" s="45"/>
      <c r="CT18" s="45"/>
      <c r="CU18" s="45"/>
      <c r="CV18" s="45"/>
      <c r="CW18" s="45"/>
      <c r="CX18" s="45"/>
      <c r="CY18" s="45"/>
      <c r="CZ18" s="45"/>
      <c r="DA18" s="45"/>
      <c r="DB18" s="45"/>
      <c r="DC18" s="45"/>
      <c r="DD18" s="45"/>
      <c r="DE18" s="45"/>
      <c r="DF18" s="45"/>
      <c r="DG18" s="45"/>
      <c r="DH18" s="45"/>
      <c r="DI18" s="45"/>
      <c r="DJ18" s="45"/>
      <c r="DK18" s="45"/>
      <c r="DL18" s="45"/>
      <c r="DM18" s="45"/>
      <c r="DN18" s="45"/>
      <c r="DO18" s="45"/>
      <c r="DP18" s="45"/>
      <c r="DQ18" s="45"/>
      <c r="DR18" s="45"/>
      <c r="DS18" s="45"/>
      <c r="DT18" s="45"/>
      <c r="DU18" s="45"/>
      <c r="DV18" s="45"/>
      <c r="DW18" s="45"/>
      <c r="DX18" s="45"/>
      <c r="DY18" s="45"/>
      <c r="DZ18" s="45"/>
      <c r="EA18" s="45"/>
      <c r="EB18" s="45"/>
      <c r="EC18" s="45"/>
      <c r="ED18" s="45"/>
      <c r="EE18" s="45"/>
      <c r="EF18" s="45"/>
      <c r="EG18" s="45"/>
      <c r="EH18" s="45"/>
      <c r="EI18" s="45"/>
      <c r="EJ18" s="45"/>
      <c r="EK18" s="45"/>
      <c r="EL18" s="45"/>
      <c r="EM18" s="45"/>
      <c r="EN18" s="45"/>
      <c r="EO18" s="45"/>
      <c r="EP18" s="45"/>
      <c r="EQ18" s="45"/>
      <c r="ER18" s="45"/>
      <c r="ES18" s="45"/>
      <c r="ET18" s="45"/>
      <c r="EU18" s="45"/>
      <c r="EV18" s="45"/>
      <c r="EW18" s="45"/>
      <c r="EX18" s="45"/>
      <c r="EY18" s="45"/>
      <c r="EZ18" s="45"/>
      <c r="FA18" s="45"/>
      <c r="FB18" s="45"/>
      <c r="FC18" s="45"/>
      <c r="FD18" s="45"/>
      <c r="FE18" s="45"/>
      <c r="FF18" s="45"/>
      <c r="FG18" s="45"/>
      <c r="FH18" s="45"/>
      <c r="FI18" s="45"/>
      <c r="FJ18" s="45"/>
      <c r="FK18" s="45"/>
      <c r="FL18" s="45"/>
      <c r="FM18" s="45"/>
      <c r="FN18" s="45"/>
      <c r="FO18" s="45"/>
      <c r="FP18" s="45"/>
      <c r="FQ18" s="45"/>
      <c r="FR18" s="45"/>
      <c r="FS18" s="45"/>
      <c r="FT18" s="45"/>
      <c r="FU18" s="45"/>
      <c r="FV18" s="45"/>
      <c r="FW18" s="45"/>
      <c r="FX18" s="45"/>
      <c r="FY18" s="45"/>
      <c r="FZ18" s="45"/>
      <c r="GA18" s="45"/>
      <c r="GB18" s="45"/>
      <c r="GC18" s="45"/>
      <c r="GD18" s="45"/>
      <c r="GE18" s="45"/>
      <c r="GF18" s="45"/>
      <c r="GG18" s="45"/>
      <c r="GH18" s="45"/>
      <c r="GI18" s="45"/>
      <c r="GJ18" s="45"/>
      <c r="GK18" s="45"/>
      <c r="GL18" s="45"/>
      <c r="GM18" s="45"/>
      <c r="GN18" s="45"/>
      <c r="GO18" s="45"/>
      <c r="GP18" s="45"/>
      <c r="GQ18" s="45"/>
      <c r="GR18" s="45"/>
      <c r="GS18" s="45"/>
      <c r="GT18" s="45"/>
      <c r="GU18" s="45"/>
      <c r="GV18" s="45"/>
      <c r="GW18" s="45"/>
      <c r="GX18" s="45"/>
      <c r="GY18" s="45"/>
      <c r="GZ18" s="45"/>
      <c r="HA18" s="45"/>
      <c r="HB18" s="45"/>
      <c r="HC18" s="45"/>
      <c r="HD18" s="45"/>
      <c r="HE18" s="45"/>
      <c r="HF18" s="45"/>
      <c r="HG18" s="45"/>
      <c r="HH18" s="45"/>
      <c r="HI18" s="45"/>
      <c r="HJ18" s="45"/>
      <c r="HK18" s="45"/>
      <c r="HL18" s="45"/>
      <c r="HM18" s="45"/>
      <c r="HN18" s="45"/>
      <c r="HO18" s="45"/>
      <c r="HP18" s="45"/>
      <c r="HQ18" s="45"/>
      <c r="HR18" s="45"/>
      <c r="HS18" s="45"/>
      <c r="HT18" s="45"/>
      <c r="HU18" s="45"/>
      <c r="HV18" s="45"/>
      <c r="HW18" s="45"/>
      <c r="HX18" s="45"/>
      <c r="HY18" s="45"/>
      <c r="HZ18" s="45"/>
      <c r="IA18" s="45"/>
      <c r="IB18" s="45"/>
      <c r="IC18" s="45"/>
      <c r="ID18" s="45"/>
      <c r="IE18" s="45"/>
      <c r="IF18" s="45"/>
      <c r="IG18" s="45"/>
      <c r="IH18" s="45"/>
      <c r="II18" s="45"/>
      <c r="IJ18" s="45"/>
      <c r="IK18" s="45"/>
      <c r="IL18" s="45"/>
      <c r="IM18" s="45"/>
      <c r="IN18" s="45"/>
      <c r="IO18" s="45"/>
      <c r="IP18" s="45"/>
      <c r="IQ18" s="45"/>
      <c r="IR18" s="45"/>
      <c r="IS18" s="45"/>
      <c r="IT18" s="45"/>
      <c r="IU18" s="45"/>
      <c r="IV18" s="45"/>
      <c r="IW18" s="45"/>
      <c r="IX18" s="45"/>
      <c r="IY18" s="45"/>
      <c r="IZ18" s="45"/>
      <c r="JA18" s="45"/>
      <c r="JB18" s="45"/>
      <c r="JG18" s="87"/>
    </row>
    <row r="19" spans="1:267" s="10" customFormat="1" ht="13.8" hidden="1" outlineLevel="1" x14ac:dyDescent="0.25">
      <c r="A19" s="9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19" s="94" cm="1">
        <f t="array" ref="B19">FindColor(A19)</f>
        <v>35</v>
      </c>
      <c r="C19" s="56" t="s">
        <v>53</v>
      </c>
      <c r="E19" s="57"/>
      <c r="F19" s="38">
        <v>43129</v>
      </c>
      <c r="G19" s="39">
        <f t="shared" si="213"/>
        <v>43129</v>
      </c>
      <c r="H19" s="11">
        <v>1</v>
      </c>
      <c r="I19" s="12">
        <v>0</v>
      </c>
      <c r="J19" s="13">
        <f t="shared" si="214"/>
        <v>1</v>
      </c>
      <c r="K19" s="9"/>
      <c r="L19" s="9"/>
      <c r="M19" s="9"/>
      <c r="N19" s="9"/>
      <c r="O19" s="9"/>
      <c r="P19" s="9"/>
      <c r="Q19" s="9"/>
      <c r="R19" s="9"/>
      <c r="S19" s="9"/>
      <c r="T19" s="9"/>
      <c r="U19" s="65"/>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c r="BS19" s="9"/>
      <c r="BT19" s="9"/>
      <c r="BU19" s="9"/>
      <c r="BV19" s="9"/>
      <c r="BW19" s="9"/>
      <c r="BX19" s="9"/>
      <c r="BY19" s="9"/>
      <c r="BZ19" s="9"/>
      <c r="CA19" s="9"/>
      <c r="CB19" s="9"/>
      <c r="CC19" s="9"/>
      <c r="CD19" s="9"/>
      <c r="CE19" s="9"/>
      <c r="CF19" s="9"/>
      <c r="CG19" s="9"/>
      <c r="CH19" s="9"/>
      <c r="CI19" s="9"/>
      <c r="CJ19" s="9"/>
      <c r="CK19" s="9"/>
      <c r="CL19" s="9"/>
      <c r="CM19" s="9"/>
      <c r="CN19" s="9"/>
      <c r="CO19" s="9"/>
      <c r="CP19" s="9"/>
      <c r="CQ19" s="9"/>
      <c r="CR19" s="9"/>
      <c r="CS19" s="9"/>
      <c r="CT19" s="9"/>
      <c r="CU19" s="9"/>
      <c r="CV19" s="9"/>
      <c r="CW19" s="9"/>
      <c r="CX19" s="9"/>
      <c r="CY19" s="9"/>
      <c r="CZ19" s="9"/>
      <c r="DA19" s="9"/>
      <c r="DB19" s="9"/>
      <c r="DC19" s="9"/>
      <c r="DD19" s="9"/>
      <c r="DE19" s="9"/>
      <c r="DF19" s="9"/>
      <c r="DG19" s="9"/>
      <c r="DH19" s="9"/>
      <c r="DI19" s="9"/>
      <c r="DJ19" s="9"/>
      <c r="DK19" s="9"/>
      <c r="DL19" s="9"/>
      <c r="DM19" s="9"/>
      <c r="DN19" s="9"/>
      <c r="DO19" s="9"/>
      <c r="DP19" s="9"/>
      <c r="DQ19" s="9"/>
      <c r="DR19" s="9"/>
      <c r="DS19" s="9"/>
      <c r="DT19" s="9"/>
      <c r="DU19" s="9"/>
      <c r="DV19" s="9"/>
      <c r="DW19" s="9"/>
      <c r="DX19" s="9"/>
      <c r="DY19" s="9"/>
      <c r="DZ19" s="9"/>
      <c r="EA19" s="9"/>
      <c r="EB19" s="9"/>
      <c r="EC19" s="9"/>
      <c r="ED19" s="9"/>
      <c r="EE19" s="9"/>
      <c r="EF19" s="9"/>
      <c r="EG19" s="9"/>
      <c r="EH19" s="9"/>
      <c r="EI19" s="9"/>
      <c r="EJ19" s="9"/>
      <c r="EK19" s="9"/>
      <c r="EL19" s="9"/>
      <c r="EM19" s="9"/>
      <c r="EN19" s="9"/>
      <c r="EO19" s="9"/>
      <c r="EP19" s="9"/>
      <c r="EQ19" s="9"/>
      <c r="ER19" s="9"/>
      <c r="ES19" s="9"/>
      <c r="ET19" s="9"/>
      <c r="EU19" s="9"/>
      <c r="EV19" s="9"/>
      <c r="EW19" s="9"/>
      <c r="EX19" s="9"/>
      <c r="EY19" s="9"/>
      <c r="EZ19" s="9"/>
      <c r="FA19" s="9"/>
      <c r="FB19" s="9"/>
      <c r="FC19" s="9"/>
      <c r="FD19" s="9"/>
      <c r="FE19" s="9"/>
      <c r="FF19" s="9"/>
      <c r="FG19" s="9"/>
      <c r="FH19" s="9"/>
      <c r="FI19" s="9"/>
      <c r="FJ19" s="9"/>
      <c r="FK19" s="9"/>
      <c r="FL19" s="9"/>
      <c r="FM19" s="9"/>
      <c r="FN19" s="9"/>
      <c r="FO19" s="9"/>
      <c r="FP19" s="9"/>
      <c r="FQ19" s="9"/>
      <c r="FR19" s="9"/>
      <c r="FS19" s="9"/>
      <c r="FT19" s="9"/>
      <c r="FU19" s="9"/>
      <c r="FV19" s="9"/>
      <c r="FW19" s="9"/>
      <c r="FX19" s="9"/>
      <c r="FY19" s="9"/>
      <c r="FZ19" s="9"/>
      <c r="GA19" s="9"/>
      <c r="GB19" s="9"/>
      <c r="GC19" s="9"/>
      <c r="GD19" s="9"/>
      <c r="GE19" s="9"/>
      <c r="GF19" s="9"/>
      <c r="GG19" s="9"/>
      <c r="GH19" s="9"/>
      <c r="GI19" s="9"/>
      <c r="GJ19" s="9"/>
      <c r="GK19" s="9"/>
      <c r="GL19" s="9"/>
      <c r="GM19" s="9"/>
      <c r="GN19" s="9"/>
      <c r="GO19" s="9"/>
      <c r="GP19" s="9"/>
      <c r="GQ19" s="9"/>
      <c r="GR19" s="9"/>
      <c r="GS19" s="9"/>
      <c r="GT19" s="9"/>
      <c r="GU19" s="9"/>
      <c r="GV19" s="9"/>
      <c r="GW19" s="9"/>
      <c r="GX19" s="9"/>
      <c r="GY19" s="9"/>
      <c r="GZ19" s="9"/>
      <c r="HA19" s="9"/>
      <c r="HB19" s="9"/>
      <c r="HC19" s="9"/>
      <c r="HD19" s="9"/>
      <c r="HE19" s="9"/>
      <c r="HF19" s="9"/>
      <c r="HG19" s="9"/>
      <c r="HH19" s="9"/>
      <c r="HI19" s="9"/>
      <c r="HJ19" s="9"/>
      <c r="HK19" s="9"/>
      <c r="HL19" s="9"/>
      <c r="HM19" s="9"/>
      <c r="HN19" s="9"/>
      <c r="HO19" s="9"/>
      <c r="HP19" s="9"/>
      <c r="HQ19" s="9"/>
      <c r="HR19" s="9"/>
      <c r="HS19" s="9"/>
      <c r="HT19" s="9"/>
      <c r="HU19" s="9"/>
      <c r="HV19" s="9"/>
      <c r="HW19" s="9"/>
      <c r="HX19" s="9"/>
      <c r="HY19" s="9"/>
      <c r="HZ19" s="9"/>
      <c r="IA19" s="9"/>
      <c r="IB19" s="9"/>
      <c r="IC19" s="9"/>
      <c r="ID19" s="9"/>
      <c r="IE19" s="9"/>
      <c r="IF19" s="9"/>
      <c r="IG19" s="9"/>
      <c r="IH19" s="9"/>
      <c r="II19" s="9"/>
      <c r="IJ19" s="9"/>
      <c r="IK19" s="9"/>
      <c r="IL19" s="9"/>
      <c r="IM19" s="9"/>
      <c r="IN19" s="9"/>
      <c r="IO19" s="9"/>
      <c r="IP19" s="9"/>
      <c r="IQ19" s="9"/>
      <c r="IR19" s="9"/>
      <c r="IS19" s="9"/>
      <c r="IT19" s="9"/>
      <c r="IU19" s="9"/>
      <c r="IV19" s="9"/>
      <c r="IW19" s="9"/>
      <c r="IX19" s="9"/>
      <c r="IY19" s="9"/>
      <c r="IZ19" s="9"/>
      <c r="JA19" s="9"/>
      <c r="JB19" s="9"/>
      <c r="JG19" s="88"/>
    </row>
    <row r="20" spans="1:267" s="10" customFormat="1" ht="13.8" hidden="1" outlineLevel="1" x14ac:dyDescent="0.25">
      <c r="A20" s="9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3.1.1</v>
      </c>
      <c r="B20" s="94" cm="1">
        <f t="array" ref="B20">FindColor(A20)</f>
        <v>24</v>
      </c>
      <c r="C20" s="74" t="s">
        <v>54</v>
      </c>
      <c r="E20" s="57"/>
      <c r="F20" s="38">
        <v>43129</v>
      </c>
      <c r="G20" s="39">
        <f t="shared" si="213"/>
        <v>43129</v>
      </c>
      <c r="H20" s="11">
        <v>1</v>
      </c>
      <c r="I20" s="12">
        <v>0</v>
      </c>
      <c r="J20" s="13">
        <f t="shared" si="214"/>
        <v>1</v>
      </c>
      <c r="K20" s="9"/>
      <c r="L20" s="9"/>
      <c r="M20" s="9"/>
      <c r="N20" s="9"/>
      <c r="O20" s="9"/>
      <c r="P20" s="9"/>
      <c r="Q20" s="9"/>
      <c r="R20" s="9"/>
      <c r="S20" s="9"/>
      <c r="T20" s="9"/>
      <c r="U20" s="65"/>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c r="BS20" s="9"/>
      <c r="BT20" s="9"/>
      <c r="BU20" s="9"/>
      <c r="BV20" s="9"/>
      <c r="BW20" s="9"/>
      <c r="BX20" s="9"/>
      <c r="BY20" s="9"/>
      <c r="BZ20" s="9"/>
      <c r="CA20" s="9"/>
      <c r="CB20" s="9"/>
      <c r="CC20" s="9"/>
      <c r="CD20" s="9"/>
      <c r="CE20" s="9"/>
      <c r="CF20" s="9"/>
      <c r="CG20" s="9"/>
      <c r="CH20" s="9"/>
      <c r="CI20" s="9"/>
      <c r="CJ20" s="9"/>
      <c r="CK20" s="9"/>
      <c r="CL20" s="9"/>
      <c r="CM20" s="9"/>
      <c r="CN20" s="9"/>
      <c r="CO20" s="9"/>
      <c r="CP20" s="9"/>
      <c r="CQ20" s="9"/>
      <c r="CR20" s="9"/>
      <c r="CS20" s="9"/>
      <c r="CT20" s="9"/>
      <c r="CU20" s="9"/>
      <c r="CV20" s="9"/>
      <c r="CW20" s="9"/>
      <c r="CX20" s="9"/>
      <c r="CY20" s="9"/>
      <c r="CZ20" s="9"/>
      <c r="DA20" s="9"/>
      <c r="DB20" s="9"/>
      <c r="DC20" s="9"/>
      <c r="DD20" s="9"/>
      <c r="DE20" s="9"/>
      <c r="DF20" s="9"/>
      <c r="DG20" s="9"/>
      <c r="DH20" s="9"/>
      <c r="DI20" s="9"/>
      <c r="DJ20" s="9"/>
      <c r="DK20" s="9"/>
      <c r="DL20" s="9"/>
      <c r="DM20" s="9"/>
      <c r="DN20" s="9"/>
      <c r="DO20" s="9"/>
      <c r="DP20" s="9"/>
      <c r="DQ20" s="9"/>
      <c r="DR20" s="9"/>
      <c r="DS20" s="9"/>
      <c r="DT20" s="9"/>
      <c r="DU20" s="9"/>
      <c r="DV20" s="9"/>
      <c r="DW20" s="9"/>
      <c r="DX20" s="9"/>
      <c r="DY20" s="9"/>
      <c r="DZ20" s="9"/>
      <c r="EA20" s="9"/>
      <c r="EB20" s="9"/>
      <c r="EC20" s="9"/>
      <c r="ED20" s="9"/>
      <c r="EE20" s="9"/>
      <c r="EF20" s="9"/>
      <c r="EG20" s="9"/>
      <c r="EH20" s="9"/>
      <c r="EI20" s="9"/>
      <c r="EJ20" s="9"/>
      <c r="EK20" s="9"/>
      <c r="EL20" s="9"/>
      <c r="EM20" s="9"/>
      <c r="EN20" s="9"/>
      <c r="EO20" s="9"/>
      <c r="EP20" s="9"/>
      <c r="EQ20" s="9"/>
      <c r="ER20" s="9"/>
      <c r="ES20" s="9"/>
      <c r="ET20" s="9"/>
      <c r="EU20" s="9"/>
      <c r="EV20" s="9"/>
      <c r="EW20" s="9"/>
      <c r="EX20" s="9"/>
      <c r="EY20" s="9"/>
      <c r="EZ20" s="9"/>
      <c r="FA20" s="9"/>
      <c r="FB20" s="9"/>
      <c r="FC20" s="9"/>
      <c r="FD20" s="9"/>
      <c r="FE20" s="9"/>
      <c r="FF20" s="9"/>
      <c r="FG20" s="9"/>
      <c r="FH20" s="9"/>
      <c r="FI20" s="9"/>
      <c r="FJ20" s="9"/>
      <c r="FK20" s="9"/>
      <c r="FL20" s="9"/>
      <c r="FM20" s="9"/>
      <c r="FN20" s="9"/>
      <c r="FO20" s="9"/>
      <c r="FP20" s="9"/>
      <c r="FQ20" s="9"/>
      <c r="FR20" s="9"/>
      <c r="FS20" s="9"/>
      <c r="FT20" s="9"/>
      <c r="FU20" s="9"/>
      <c r="FV20" s="9"/>
      <c r="FW20" s="9"/>
      <c r="FX20" s="9"/>
      <c r="FY20" s="9"/>
      <c r="FZ20" s="9"/>
      <c r="GA20" s="9"/>
      <c r="GB20" s="9"/>
      <c r="GC20" s="9"/>
      <c r="GD20" s="9"/>
      <c r="GE20" s="9"/>
      <c r="GF20" s="9"/>
      <c r="GG20" s="9"/>
      <c r="GH20" s="9"/>
      <c r="GI20" s="9"/>
      <c r="GJ20" s="9"/>
      <c r="GK20" s="9"/>
      <c r="GL20" s="9"/>
      <c r="GM20" s="9"/>
      <c r="GN20" s="9"/>
      <c r="GO20" s="9"/>
      <c r="GP20" s="9"/>
      <c r="GQ20" s="9"/>
      <c r="GR20" s="9"/>
      <c r="GS20" s="9"/>
      <c r="GT20" s="9"/>
      <c r="GU20" s="9"/>
      <c r="GV20" s="9"/>
      <c r="GW20" s="9"/>
      <c r="GX20" s="9"/>
      <c r="GY20" s="9"/>
      <c r="GZ20" s="9"/>
      <c r="HA20" s="9"/>
      <c r="HB20" s="9"/>
      <c r="HC20" s="9"/>
      <c r="HD20" s="9"/>
      <c r="HE20" s="9"/>
      <c r="HF20" s="9"/>
      <c r="HG20" s="9"/>
      <c r="HH20" s="9"/>
      <c r="HI20" s="9"/>
      <c r="HJ20" s="9"/>
      <c r="HK20" s="9"/>
      <c r="HL20" s="9"/>
      <c r="HM20" s="9"/>
      <c r="HN20" s="9"/>
      <c r="HO20" s="9"/>
      <c r="HP20" s="9"/>
      <c r="HQ20" s="9"/>
      <c r="HR20" s="9"/>
      <c r="HS20" s="9"/>
      <c r="HT20" s="9"/>
      <c r="HU20" s="9"/>
      <c r="HV20" s="9"/>
      <c r="HW20" s="9"/>
      <c r="HX20" s="9"/>
      <c r="HY20" s="9"/>
      <c r="HZ20" s="9"/>
      <c r="IA20" s="9"/>
      <c r="IB20" s="9"/>
      <c r="IC20" s="9"/>
      <c r="ID20" s="9"/>
      <c r="IE20" s="9"/>
      <c r="IF20" s="9"/>
      <c r="IG20" s="9"/>
      <c r="IH20" s="9"/>
      <c r="II20" s="9"/>
      <c r="IJ20" s="9"/>
      <c r="IK20" s="9"/>
      <c r="IL20" s="9"/>
      <c r="IM20" s="9"/>
      <c r="IN20" s="9"/>
      <c r="IO20" s="9"/>
      <c r="IP20" s="9"/>
      <c r="IQ20" s="9"/>
      <c r="IR20" s="9"/>
      <c r="IS20" s="9"/>
      <c r="IT20" s="9"/>
      <c r="IU20" s="9"/>
      <c r="IV20" s="9"/>
      <c r="IW20" s="9"/>
      <c r="IX20" s="9"/>
      <c r="IY20" s="9"/>
      <c r="IZ20" s="9"/>
      <c r="JA20" s="9"/>
      <c r="JB20" s="9"/>
      <c r="JG20" s="88"/>
    </row>
    <row r="21" spans="1:267" s="10" customFormat="1" ht="13.8" hidden="1" outlineLevel="1" x14ac:dyDescent="0.25">
      <c r="A21" s="9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3.2</v>
      </c>
      <c r="B21" s="94" cm="1">
        <f t="array" ref="B21">FindColor(A21)</f>
        <v>35</v>
      </c>
      <c r="C21" s="119" t="s">
        <v>63</v>
      </c>
      <c r="E21" s="57"/>
      <c r="F21" s="38">
        <v>43129</v>
      </c>
      <c r="G21" s="39">
        <f t="shared" si="213"/>
        <v>43129</v>
      </c>
      <c r="H21" s="11">
        <v>1</v>
      </c>
      <c r="I21" s="12">
        <v>0</v>
      </c>
      <c r="J21" s="13">
        <f t="shared" si="214"/>
        <v>1</v>
      </c>
      <c r="K21" s="9"/>
      <c r="L21" s="9"/>
      <c r="M21" s="9"/>
      <c r="N21" s="9"/>
      <c r="O21" s="9"/>
      <c r="P21" s="9"/>
      <c r="Q21" s="9"/>
      <c r="R21" s="9"/>
      <c r="S21" s="9"/>
      <c r="T21" s="9"/>
      <c r="U21" s="9"/>
      <c r="V21" s="9"/>
      <c r="W21" s="9"/>
      <c r="X21" s="9"/>
      <c r="Y21" s="65"/>
      <c r="Z21" s="65"/>
      <c r="AA21" s="9"/>
      <c r="AB21" s="65"/>
      <c r="AC21" s="65"/>
      <c r="AD21" s="9"/>
      <c r="AE21" s="9"/>
      <c r="AF21" s="9"/>
      <c r="AG21" s="9"/>
      <c r="AH21" s="65"/>
      <c r="AI21" s="65"/>
      <c r="AJ21" s="65"/>
      <c r="AK21" s="9"/>
      <c r="AL21" s="65"/>
      <c r="AM21" s="65"/>
      <c r="AN21" s="65"/>
      <c r="AO21" s="9"/>
      <c r="AP21" s="9"/>
      <c r="AQ21" s="9"/>
      <c r="AR21" s="9"/>
      <c r="AS21" s="9"/>
      <c r="AT21" s="9"/>
      <c r="AU21" s="9"/>
      <c r="AV21" s="65"/>
      <c r="AW21" s="65"/>
      <c r="AX21" s="65"/>
      <c r="AY21" s="65"/>
      <c r="AZ21" s="65"/>
      <c r="BA21" s="65"/>
      <c r="BB21" s="65"/>
      <c r="BC21" s="9"/>
      <c r="BD21" s="9"/>
      <c r="BE21" s="9"/>
      <c r="BF21" s="9"/>
      <c r="BG21" s="65"/>
      <c r="BH21" s="9"/>
      <c r="BI21" s="9"/>
      <c r="BJ21" s="9"/>
      <c r="BK21" s="9"/>
      <c r="BL21" s="9"/>
      <c r="BM21" s="9"/>
      <c r="BN21" s="9"/>
      <c r="BO21" s="9"/>
      <c r="BP21" s="9"/>
      <c r="BQ21" s="9"/>
      <c r="BR21" s="9"/>
      <c r="BS21" s="9"/>
      <c r="BT21" s="9"/>
      <c r="BU21" s="9"/>
      <c r="BV21" s="9"/>
      <c r="BW21" s="9"/>
      <c r="BX21" s="9"/>
      <c r="BY21" s="9"/>
      <c r="BZ21" s="9"/>
      <c r="CA21" s="9"/>
      <c r="CB21" s="9"/>
      <c r="CC21" s="9"/>
      <c r="CD21" s="9"/>
      <c r="CE21" s="9"/>
      <c r="CF21" s="9"/>
      <c r="CG21" s="9"/>
      <c r="CH21" s="9"/>
      <c r="CI21" s="9"/>
      <c r="CJ21" s="9"/>
      <c r="CK21" s="9"/>
      <c r="CL21" s="9"/>
      <c r="CM21" s="9"/>
      <c r="CN21" s="9"/>
      <c r="CO21" s="9"/>
      <c r="CP21" s="9"/>
      <c r="CQ21" s="9"/>
      <c r="CR21" s="9"/>
      <c r="CS21" s="9"/>
      <c r="CT21" s="9"/>
      <c r="CU21" s="9"/>
      <c r="CV21" s="9"/>
      <c r="CW21" s="9"/>
      <c r="CX21" s="9"/>
      <c r="CY21" s="9"/>
      <c r="CZ21" s="9"/>
      <c r="DA21" s="9"/>
      <c r="DB21" s="9"/>
      <c r="DC21" s="9"/>
      <c r="DD21" s="9"/>
      <c r="DE21" s="9"/>
      <c r="DF21" s="9"/>
      <c r="DG21" s="9"/>
      <c r="DH21" s="9"/>
      <c r="DI21" s="9"/>
      <c r="DJ21" s="9"/>
      <c r="DK21" s="9"/>
      <c r="DL21" s="9"/>
      <c r="DM21" s="9"/>
      <c r="DN21" s="9"/>
      <c r="DO21" s="9"/>
      <c r="DP21" s="9"/>
      <c r="DQ21" s="9"/>
      <c r="DR21" s="9"/>
      <c r="DS21" s="9"/>
      <c r="DT21" s="9"/>
      <c r="DU21" s="9"/>
      <c r="DV21" s="9"/>
      <c r="DW21" s="9"/>
      <c r="DX21" s="9"/>
      <c r="DY21" s="9"/>
      <c r="DZ21" s="9"/>
      <c r="EA21" s="9"/>
      <c r="EB21" s="9"/>
      <c r="EC21" s="9"/>
      <c r="ED21" s="9"/>
      <c r="EE21" s="9"/>
      <c r="EF21" s="9"/>
      <c r="EG21" s="9"/>
      <c r="EH21" s="9"/>
      <c r="EI21" s="9"/>
      <c r="EJ21" s="9"/>
      <c r="EK21" s="9"/>
      <c r="EL21" s="9"/>
      <c r="EM21" s="9"/>
      <c r="EN21" s="9"/>
      <c r="EO21" s="9"/>
      <c r="EP21" s="9"/>
      <c r="EQ21" s="9"/>
      <c r="ER21" s="9"/>
      <c r="ES21" s="9"/>
      <c r="ET21" s="9"/>
      <c r="EU21" s="9"/>
      <c r="EV21" s="9"/>
      <c r="EW21" s="9"/>
      <c r="EX21" s="9"/>
      <c r="EY21" s="9"/>
      <c r="EZ21" s="9"/>
      <c r="FA21" s="9"/>
      <c r="FB21" s="9"/>
      <c r="FC21" s="9"/>
      <c r="FD21" s="9"/>
      <c r="FE21" s="9"/>
      <c r="FF21" s="9"/>
      <c r="FG21" s="9"/>
      <c r="FH21" s="9"/>
      <c r="FI21" s="9"/>
      <c r="FJ21" s="9"/>
      <c r="FK21" s="9"/>
      <c r="FL21" s="9"/>
      <c r="FM21" s="9"/>
      <c r="FN21" s="9"/>
      <c r="FO21" s="9"/>
      <c r="FP21" s="9"/>
      <c r="FQ21" s="9"/>
      <c r="FR21" s="9"/>
      <c r="FS21" s="9"/>
      <c r="FT21" s="9"/>
      <c r="FU21" s="9"/>
      <c r="FV21" s="9"/>
      <c r="FW21" s="9"/>
      <c r="FX21" s="9"/>
      <c r="FY21" s="9"/>
      <c r="FZ21" s="9"/>
      <c r="GA21" s="9"/>
      <c r="GB21" s="9"/>
      <c r="GC21" s="9"/>
      <c r="GD21" s="9"/>
      <c r="GE21" s="9"/>
      <c r="GF21" s="9"/>
      <c r="GG21" s="9"/>
      <c r="GH21" s="9"/>
      <c r="GI21" s="9"/>
      <c r="GJ21" s="9"/>
      <c r="GK21" s="9"/>
      <c r="GL21" s="9"/>
      <c r="GM21" s="9"/>
      <c r="GN21" s="9"/>
      <c r="GO21" s="9"/>
      <c r="GP21" s="9"/>
      <c r="GQ21" s="9"/>
      <c r="GR21" s="9"/>
      <c r="GS21" s="9"/>
      <c r="GT21" s="9"/>
      <c r="GU21" s="9"/>
      <c r="GV21" s="9"/>
      <c r="GW21" s="9"/>
      <c r="GX21" s="9"/>
      <c r="GY21" s="9"/>
      <c r="GZ21" s="9"/>
      <c r="HA21" s="9"/>
      <c r="HB21" s="9"/>
      <c r="HC21" s="9"/>
      <c r="HD21" s="9"/>
      <c r="HE21" s="9"/>
      <c r="HF21" s="9"/>
      <c r="HG21" s="9"/>
      <c r="HH21" s="9"/>
      <c r="HI21" s="9"/>
      <c r="HJ21" s="9"/>
      <c r="HK21" s="9"/>
      <c r="HL21" s="9"/>
      <c r="HM21" s="9"/>
      <c r="HN21" s="9"/>
      <c r="HO21" s="9"/>
      <c r="HP21" s="9"/>
      <c r="HQ21" s="9"/>
      <c r="HR21" s="9"/>
      <c r="HS21" s="9"/>
      <c r="HT21" s="9"/>
      <c r="HU21" s="9"/>
      <c r="HV21" s="9"/>
      <c r="HW21" s="9"/>
      <c r="HX21" s="9"/>
      <c r="HY21" s="9"/>
      <c r="HZ21" s="9"/>
      <c r="IA21" s="9"/>
      <c r="IB21" s="9"/>
      <c r="IC21" s="9"/>
      <c r="ID21" s="9"/>
      <c r="IE21" s="9"/>
      <c r="IF21" s="9"/>
      <c r="IG21" s="9"/>
      <c r="IH21" s="9"/>
      <c r="II21" s="9"/>
      <c r="IJ21" s="9"/>
      <c r="IK21" s="9"/>
      <c r="IL21" s="9"/>
      <c r="IM21" s="9"/>
      <c r="IN21" s="9"/>
      <c r="IO21" s="9"/>
      <c r="IP21" s="9"/>
      <c r="IQ21" s="9"/>
      <c r="IR21" s="9"/>
      <c r="IS21" s="9"/>
      <c r="IT21" s="9"/>
      <c r="IU21" s="9"/>
      <c r="IV21" s="9"/>
      <c r="IW21" s="9"/>
      <c r="IX21" s="9"/>
      <c r="IY21" s="9"/>
      <c r="IZ21" s="9"/>
      <c r="JA21" s="9"/>
      <c r="JB21" s="9"/>
      <c r="JG21" s="88"/>
    </row>
    <row r="22" spans="1:267" s="10" customFormat="1" ht="13.8" hidden="1" outlineLevel="1" x14ac:dyDescent="0.25">
      <c r="A22" s="9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3.2.1</v>
      </c>
      <c r="B22" s="94" cm="1">
        <f t="array" ref="B22">FindColor(A22)</f>
        <v>24</v>
      </c>
      <c r="C22" s="74" t="s">
        <v>66</v>
      </c>
      <c r="E22" s="57"/>
      <c r="F22" s="38">
        <v>43129</v>
      </c>
      <c r="G22" s="39">
        <f t="shared" si="213"/>
        <v>43129</v>
      </c>
      <c r="H22" s="11">
        <v>1</v>
      </c>
      <c r="I22" s="12">
        <v>0</v>
      </c>
      <c r="J22" s="13">
        <f t="shared" si="214"/>
        <v>1</v>
      </c>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65"/>
      <c r="BC22" s="9"/>
      <c r="BD22" s="9"/>
      <c r="BE22" s="9"/>
      <c r="BF22" s="9"/>
      <c r="BG22" s="65"/>
      <c r="BH22" s="9"/>
      <c r="BI22" s="9"/>
      <c r="BJ22" s="9"/>
      <c r="BK22" s="9"/>
      <c r="BL22" s="9"/>
      <c r="BM22" s="9"/>
      <c r="BN22" s="9"/>
      <c r="BO22" s="9"/>
      <c r="BP22" s="9"/>
      <c r="BQ22" s="9"/>
      <c r="BR22" s="9"/>
      <c r="BS22" s="9"/>
      <c r="BT22" s="9"/>
      <c r="BU22" s="9"/>
      <c r="BV22" s="9"/>
      <c r="BW22" s="9"/>
      <c r="BX22" s="9"/>
      <c r="BY22" s="9"/>
      <c r="BZ22" s="9"/>
      <c r="CA22" s="9"/>
      <c r="CB22" s="9"/>
      <c r="CC22" s="9"/>
      <c r="CD22" s="9"/>
      <c r="CE22" s="9"/>
      <c r="CF22" s="9"/>
      <c r="CG22" s="9"/>
      <c r="CH22" s="9"/>
      <c r="CI22" s="9"/>
      <c r="CJ22" s="9"/>
      <c r="CK22" s="9"/>
      <c r="CL22" s="9"/>
      <c r="CM22" s="9"/>
      <c r="CN22" s="9"/>
      <c r="CO22" s="9"/>
      <c r="CP22" s="9"/>
      <c r="CQ22" s="9"/>
      <c r="CR22" s="9"/>
      <c r="CS22" s="9"/>
      <c r="CT22" s="9"/>
      <c r="CU22" s="9"/>
      <c r="CV22" s="9"/>
      <c r="CW22" s="9"/>
      <c r="CX22" s="9"/>
      <c r="CY22" s="9"/>
      <c r="CZ22" s="9"/>
      <c r="DA22" s="9"/>
      <c r="DB22" s="9"/>
      <c r="DC22" s="9"/>
      <c r="DD22" s="9"/>
      <c r="DE22" s="9"/>
      <c r="DF22" s="9"/>
      <c r="DG22" s="9"/>
      <c r="DH22" s="9"/>
      <c r="DI22" s="9"/>
      <c r="DJ22" s="9"/>
      <c r="DK22" s="9"/>
      <c r="DL22" s="9"/>
      <c r="DM22" s="9"/>
      <c r="DN22" s="9"/>
      <c r="DO22" s="9"/>
      <c r="DP22" s="9"/>
      <c r="DQ22" s="9"/>
      <c r="DR22" s="9"/>
      <c r="DS22" s="9"/>
      <c r="DT22" s="9"/>
      <c r="DU22" s="9"/>
      <c r="DV22" s="9"/>
      <c r="DW22" s="9"/>
      <c r="DX22" s="9"/>
      <c r="DY22" s="9"/>
      <c r="DZ22" s="9"/>
      <c r="EA22" s="9"/>
      <c r="EB22" s="9"/>
      <c r="EC22" s="9"/>
      <c r="ED22" s="9"/>
      <c r="EE22" s="9"/>
      <c r="EF22" s="9"/>
      <c r="EG22" s="9"/>
      <c r="EH22" s="9"/>
      <c r="EI22" s="9"/>
      <c r="EJ22" s="9"/>
      <c r="EK22" s="9"/>
      <c r="EL22" s="9"/>
      <c r="EM22" s="9"/>
      <c r="EN22" s="9"/>
      <c r="EO22" s="9"/>
      <c r="EP22" s="9"/>
      <c r="EQ22" s="9"/>
      <c r="ER22" s="9"/>
      <c r="ES22" s="9"/>
      <c r="ET22" s="9"/>
      <c r="EU22" s="9"/>
      <c r="EV22" s="9"/>
      <c r="EW22" s="9"/>
      <c r="EX22" s="9"/>
      <c r="EY22" s="9"/>
      <c r="EZ22" s="9"/>
      <c r="FA22" s="9"/>
      <c r="FB22" s="9"/>
      <c r="FC22" s="9"/>
      <c r="FD22" s="9"/>
      <c r="FE22" s="9"/>
      <c r="FF22" s="9"/>
      <c r="FG22" s="9"/>
      <c r="FH22" s="9"/>
      <c r="FI22" s="9"/>
      <c r="FJ22" s="9"/>
      <c r="FK22" s="9"/>
      <c r="FL22" s="9"/>
      <c r="FM22" s="9"/>
      <c r="FN22" s="9"/>
      <c r="FO22" s="9"/>
      <c r="FP22" s="9"/>
      <c r="FQ22" s="9"/>
      <c r="FR22" s="9"/>
      <c r="FS22" s="9"/>
      <c r="FT22" s="9"/>
      <c r="FU22" s="9"/>
      <c r="FV22" s="9"/>
      <c r="FW22" s="9"/>
      <c r="FX22" s="9"/>
      <c r="FY22" s="9"/>
      <c r="FZ22" s="9"/>
      <c r="GA22" s="9"/>
      <c r="GB22" s="9"/>
      <c r="GC22" s="9"/>
      <c r="GD22" s="9"/>
      <c r="GE22" s="9"/>
      <c r="GF22" s="9"/>
      <c r="GG22" s="9"/>
      <c r="GH22" s="9"/>
      <c r="GI22" s="9"/>
      <c r="GJ22" s="9"/>
      <c r="GK22" s="9"/>
      <c r="GL22" s="9"/>
      <c r="GM22" s="9"/>
      <c r="GN22" s="9"/>
      <c r="GO22" s="9"/>
      <c r="GP22" s="9"/>
      <c r="GQ22" s="9"/>
      <c r="GR22" s="9"/>
      <c r="GS22" s="9"/>
      <c r="GT22" s="9"/>
      <c r="GU22" s="9"/>
      <c r="GV22" s="9"/>
      <c r="GW22" s="9"/>
      <c r="GX22" s="9"/>
      <c r="GY22" s="9"/>
      <c r="GZ22" s="9"/>
      <c r="HA22" s="9"/>
      <c r="HB22" s="9"/>
      <c r="HC22" s="9"/>
      <c r="HD22" s="9"/>
      <c r="HE22" s="9"/>
      <c r="HF22" s="9"/>
      <c r="HG22" s="9"/>
      <c r="HH22" s="9"/>
      <c r="HI22" s="9"/>
      <c r="HJ22" s="9"/>
      <c r="HK22" s="9"/>
      <c r="HL22" s="9"/>
      <c r="HM22" s="9"/>
      <c r="HN22" s="9"/>
      <c r="HO22" s="9"/>
      <c r="HP22" s="9"/>
      <c r="HQ22" s="9"/>
      <c r="HR22" s="9"/>
      <c r="HS22" s="9"/>
      <c r="HT22" s="9"/>
      <c r="HU22" s="9"/>
      <c r="HV22" s="9"/>
      <c r="HW22" s="9"/>
      <c r="HX22" s="9"/>
      <c r="HY22" s="9"/>
      <c r="HZ22" s="9"/>
      <c r="IA22" s="9"/>
      <c r="IB22" s="9"/>
      <c r="IC22" s="9"/>
      <c r="ID22" s="9"/>
      <c r="IE22" s="9"/>
      <c r="IF22" s="9"/>
      <c r="IG22" s="9"/>
      <c r="IH22" s="9"/>
      <c r="II22" s="9"/>
      <c r="IJ22" s="9"/>
      <c r="IK22" s="9"/>
      <c r="IL22" s="9"/>
      <c r="IM22" s="9"/>
      <c r="IN22" s="9"/>
      <c r="IO22" s="9"/>
      <c r="IP22" s="9"/>
      <c r="IQ22" s="9"/>
      <c r="IR22" s="9"/>
      <c r="IS22" s="9"/>
      <c r="IT22" s="9"/>
      <c r="IU22" s="9"/>
      <c r="IV22" s="9"/>
      <c r="IW22" s="9"/>
      <c r="IX22" s="9"/>
      <c r="IY22" s="9"/>
      <c r="IZ22" s="9"/>
      <c r="JA22" s="9"/>
      <c r="JB22" s="9"/>
      <c r="JG22" s="88"/>
    </row>
    <row r="23" spans="1:267" s="10" customFormat="1" ht="13.8" hidden="1" outlineLevel="1" x14ac:dyDescent="0.25">
      <c r="A23" s="114"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3.2.1.1</v>
      </c>
      <c r="B23" s="94" cm="1">
        <f t="array" ref="B23">FindColor(A23)</f>
        <v>19</v>
      </c>
      <c r="C23" s="74" t="s">
        <v>67</v>
      </c>
      <c r="E23" s="57"/>
      <c r="F23" s="38">
        <v>43129</v>
      </c>
      <c r="G23" s="39">
        <f t="shared" ref="G23" si="215">IF(ISBLANK(F23)," - ",IF(H23=0,F23,F23+H23-1))</f>
        <v>43129</v>
      </c>
      <c r="H23" s="11">
        <v>1</v>
      </c>
      <c r="I23" s="12">
        <v>0</v>
      </c>
      <c r="J23" s="13">
        <f t="shared" ref="J23" si="216">IF(OR(G23=0,F23=0)," - ",NETWORKDAYS(F23,G23))</f>
        <v>1</v>
      </c>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65"/>
      <c r="BC23" s="9"/>
      <c r="BD23" s="9"/>
      <c r="BE23" s="9"/>
      <c r="BF23" s="9"/>
      <c r="BG23" s="9"/>
      <c r="BH23" s="9"/>
      <c r="BI23" s="9"/>
      <c r="BJ23" s="9"/>
      <c r="BK23" s="9"/>
      <c r="BL23" s="9"/>
      <c r="BM23" s="9"/>
      <c r="BN23" s="9"/>
      <c r="BO23" s="9"/>
      <c r="BP23" s="9"/>
      <c r="BQ23" s="9"/>
      <c r="BR23" s="9"/>
      <c r="BS23" s="9"/>
      <c r="BT23" s="9"/>
      <c r="BU23" s="9"/>
      <c r="BV23" s="9"/>
      <c r="BW23" s="9"/>
      <c r="BX23" s="9"/>
      <c r="BY23" s="9"/>
      <c r="BZ23" s="9"/>
      <c r="CA23" s="9"/>
      <c r="CB23" s="9"/>
      <c r="CC23" s="9"/>
      <c r="CD23" s="9"/>
      <c r="CE23" s="9"/>
      <c r="CF23" s="9"/>
      <c r="CG23" s="9"/>
      <c r="CH23" s="9"/>
      <c r="CI23" s="9"/>
      <c r="CJ23" s="9"/>
      <c r="CK23" s="9"/>
      <c r="CL23" s="9"/>
      <c r="CM23" s="9"/>
      <c r="CN23" s="9"/>
      <c r="CO23" s="9"/>
      <c r="CP23" s="9"/>
      <c r="CQ23" s="9"/>
      <c r="CR23" s="9"/>
      <c r="CS23" s="9"/>
      <c r="CT23" s="9"/>
      <c r="CU23" s="9"/>
      <c r="CV23" s="9"/>
      <c r="CW23" s="9"/>
      <c r="CX23" s="9"/>
      <c r="CY23" s="9"/>
      <c r="CZ23" s="9"/>
      <c r="DA23" s="9"/>
      <c r="DB23" s="9"/>
      <c r="DC23" s="9"/>
      <c r="DD23" s="9"/>
      <c r="DE23" s="9"/>
      <c r="DF23" s="9"/>
      <c r="DG23" s="9"/>
      <c r="DH23" s="9"/>
      <c r="DI23" s="9"/>
      <c r="DJ23" s="9"/>
      <c r="DK23" s="9"/>
      <c r="DL23" s="9"/>
      <c r="DM23" s="9"/>
      <c r="DN23" s="9"/>
      <c r="DO23" s="9"/>
      <c r="DP23" s="9"/>
      <c r="DQ23" s="9"/>
      <c r="DR23" s="9"/>
      <c r="DS23" s="9"/>
      <c r="DT23" s="9"/>
      <c r="DU23" s="9"/>
      <c r="DV23" s="9"/>
      <c r="DW23" s="9"/>
      <c r="DX23" s="9"/>
      <c r="DY23" s="9"/>
      <c r="DZ23" s="9"/>
      <c r="EA23" s="9"/>
      <c r="EB23" s="9"/>
      <c r="EC23" s="9"/>
      <c r="ED23" s="9"/>
      <c r="EE23" s="9"/>
      <c r="EF23" s="9"/>
      <c r="EG23" s="9"/>
      <c r="EH23" s="9"/>
      <c r="EI23" s="9"/>
      <c r="EJ23" s="9"/>
      <c r="EK23" s="9"/>
      <c r="EL23" s="9"/>
      <c r="EM23" s="9"/>
      <c r="EN23" s="9"/>
      <c r="EO23" s="9"/>
      <c r="EP23" s="9"/>
      <c r="EQ23" s="9"/>
      <c r="ER23" s="9"/>
      <c r="ES23" s="9"/>
      <c r="ET23" s="9"/>
      <c r="EU23" s="9"/>
      <c r="EV23" s="9"/>
      <c r="EW23" s="9"/>
      <c r="EX23" s="9"/>
      <c r="EY23" s="9"/>
      <c r="EZ23" s="9"/>
      <c r="FA23" s="9"/>
      <c r="FB23" s="9"/>
      <c r="FC23" s="9"/>
      <c r="FD23" s="9"/>
      <c r="FE23" s="9"/>
      <c r="FF23" s="9"/>
      <c r="FG23" s="9"/>
      <c r="FH23" s="9"/>
      <c r="FI23" s="9"/>
      <c r="FJ23" s="9"/>
      <c r="FK23" s="9"/>
      <c r="FL23" s="9"/>
      <c r="FM23" s="9"/>
      <c r="FN23" s="9"/>
      <c r="FO23" s="9"/>
      <c r="FP23" s="9"/>
      <c r="FQ23" s="9"/>
      <c r="FR23" s="9"/>
      <c r="FS23" s="9"/>
      <c r="FT23" s="9"/>
      <c r="FU23" s="9"/>
      <c r="FV23" s="9"/>
      <c r="FW23" s="9"/>
      <c r="FX23" s="9"/>
      <c r="FY23" s="9"/>
      <c r="FZ23" s="9"/>
      <c r="GA23" s="9"/>
      <c r="GB23" s="9"/>
      <c r="GC23" s="9"/>
      <c r="GD23" s="9"/>
      <c r="GE23" s="9"/>
      <c r="GF23" s="9"/>
      <c r="GG23" s="9"/>
      <c r="GH23" s="9"/>
      <c r="GI23" s="9"/>
      <c r="GJ23" s="9"/>
      <c r="GK23" s="9"/>
      <c r="GL23" s="9"/>
      <c r="GM23" s="9"/>
      <c r="GN23" s="9"/>
      <c r="GO23" s="9"/>
      <c r="GP23" s="9"/>
      <c r="GQ23" s="9"/>
      <c r="GR23" s="9"/>
      <c r="GS23" s="9"/>
      <c r="GT23" s="9"/>
      <c r="GU23" s="9"/>
      <c r="GV23" s="9"/>
      <c r="GW23" s="9"/>
      <c r="GX23" s="9"/>
      <c r="GY23" s="9"/>
      <c r="GZ23" s="9"/>
      <c r="HA23" s="9"/>
      <c r="HB23" s="9"/>
      <c r="HC23" s="9"/>
      <c r="HD23" s="9"/>
      <c r="HE23" s="9"/>
      <c r="HF23" s="9"/>
      <c r="HG23" s="9"/>
      <c r="HH23" s="9"/>
      <c r="HI23" s="9"/>
      <c r="HJ23" s="9"/>
      <c r="HK23" s="9"/>
      <c r="HL23" s="9"/>
      <c r="HM23" s="9"/>
      <c r="HN23" s="9"/>
      <c r="HO23" s="9"/>
      <c r="HP23" s="9"/>
      <c r="HQ23" s="9"/>
      <c r="HR23" s="9"/>
      <c r="HS23" s="9"/>
      <c r="HT23" s="9"/>
      <c r="HU23" s="9"/>
      <c r="HV23" s="9"/>
      <c r="HW23" s="9"/>
      <c r="HX23" s="9"/>
      <c r="HY23" s="9"/>
      <c r="HZ23" s="9"/>
      <c r="IA23" s="9"/>
      <c r="IB23" s="9"/>
      <c r="IC23" s="9"/>
      <c r="ID23" s="9"/>
      <c r="IE23" s="9"/>
      <c r="IF23" s="9"/>
      <c r="IG23" s="9"/>
      <c r="IH23" s="9"/>
      <c r="II23" s="9"/>
      <c r="IJ23" s="9"/>
      <c r="IK23" s="9"/>
      <c r="IL23" s="9"/>
      <c r="IM23" s="9"/>
      <c r="IN23" s="9"/>
      <c r="IO23" s="9"/>
      <c r="IP23" s="9"/>
      <c r="IQ23" s="9"/>
      <c r="IR23" s="9"/>
      <c r="IS23" s="9"/>
      <c r="IT23" s="9"/>
      <c r="IU23" s="9"/>
      <c r="IV23" s="9"/>
      <c r="IW23" s="9"/>
      <c r="IX23" s="9"/>
      <c r="IY23" s="9"/>
      <c r="IZ23" s="9"/>
      <c r="JA23" s="9"/>
      <c r="JB23" s="9"/>
      <c r="JG23" s="88"/>
    </row>
    <row r="24" spans="1:267" s="10" customFormat="1" ht="13.8" hidden="1" outlineLevel="1" x14ac:dyDescent="0.25">
      <c r="A24" s="114"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3.2.1.2</v>
      </c>
      <c r="B24" s="94" cm="1">
        <f t="array" ref="B24">FindColor(A24)</f>
        <v>19</v>
      </c>
      <c r="C24" s="74" t="s">
        <v>68</v>
      </c>
      <c r="E24" s="57"/>
      <c r="F24" s="38">
        <v>43129</v>
      </c>
      <c r="G24" s="39">
        <f t="shared" si="213"/>
        <v>43129</v>
      </c>
      <c r="H24" s="11">
        <v>1</v>
      </c>
      <c r="I24" s="12">
        <v>0</v>
      </c>
      <c r="J24" s="13">
        <f t="shared" si="214"/>
        <v>1</v>
      </c>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65"/>
      <c r="BC24" s="9"/>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9"/>
      <c r="CF24" s="9"/>
      <c r="CG24" s="9"/>
      <c r="CH24" s="9"/>
      <c r="CI24" s="9"/>
      <c r="CJ24" s="9"/>
      <c r="CK24" s="9"/>
      <c r="CL24" s="9"/>
      <c r="CM24" s="9"/>
      <c r="CN24" s="9"/>
      <c r="CO24" s="9"/>
      <c r="CP24" s="9"/>
      <c r="CQ24" s="9"/>
      <c r="CR24" s="9"/>
      <c r="CS24" s="9"/>
      <c r="CT24" s="9"/>
      <c r="CU24" s="9"/>
      <c r="CV24" s="9"/>
      <c r="CW24" s="9"/>
      <c r="CX24" s="9"/>
      <c r="CY24" s="9"/>
      <c r="CZ24" s="9"/>
      <c r="DA24" s="9"/>
      <c r="DB24" s="9"/>
      <c r="DC24" s="9"/>
      <c r="DD24" s="9"/>
      <c r="DE24" s="9"/>
      <c r="DF24" s="9"/>
      <c r="DG24" s="9"/>
      <c r="DH24" s="9"/>
      <c r="DI24" s="9"/>
      <c r="DJ24" s="9"/>
      <c r="DK24" s="9"/>
      <c r="DL24" s="9"/>
      <c r="DM24" s="9"/>
      <c r="DN24" s="9"/>
      <c r="DO24" s="9"/>
      <c r="DP24" s="9"/>
      <c r="DQ24" s="9"/>
      <c r="DR24" s="9"/>
      <c r="DS24" s="9"/>
      <c r="DT24" s="9"/>
      <c r="DU24" s="9"/>
      <c r="DV24" s="9"/>
      <c r="DW24" s="9"/>
      <c r="DX24" s="9"/>
      <c r="DY24" s="9"/>
      <c r="DZ24" s="9"/>
      <c r="EA24" s="9"/>
      <c r="EB24" s="9"/>
      <c r="EC24" s="9"/>
      <c r="ED24" s="9"/>
      <c r="EE24" s="9"/>
      <c r="EF24" s="9"/>
      <c r="EG24" s="9"/>
      <c r="EH24" s="9"/>
      <c r="EI24" s="9"/>
      <c r="EJ24" s="9"/>
      <c r="EK24" s="9"/>
      <c r="EL24" s="9"/>
      <c r="EM24" s="9"/>
      <c r="EN24" s="9"/>
      <c r="EO24" s="9"/>
      <c r="EP24" s="9"/>
      <c r="EQ24" s="9"/>
      <c r="ER24" s="9"/>
      <c r="ES24" s="9"/>
      <c r="ET24" s="9"/>
      <c r="EU24" s="9"/>
      <c r="EV24" s="9"/>
      <c r="EW24" s="9"/>
      <c r="EX24" s="9"/>
      <c r="EY24" s="9"/>
      <c r="EZ24" s="9"/>
      <c r="FA24" s="9"/>
      <c r="FB24" s="9"/>
      <c r="FC24" s="9"/>
      <c r="FD24" s="9"/>
      <c r="FE24" s="9"/>
      <c r="FF24" s="9"/>
      <c r="FG24" s="9"/>
      <c r="FH24" s="9"/>
      <c r="FI24" s="9"/>
      <c r="FJ24" s="9"/>
      <c r="FK24" s="9"/>
      <c r="FL24" s="9"/>
      <c r="FM24" s="9"/>
      <c r="FN24" s="9"/>
      <c r="FO24" s="9"/>
      <c r="FP24" s="9"/>
      <c r="FQ24" s="9"/>
      <c r="FR24" s="9"/>
      <c r="FS24" s="9"/>
      <c r="FT24" s="9"/>
      <c r="FU24" s="9"/>
      <c r="FV24" s="9"/>
      <c r="FW24" s="9"/>
      <c r="FX24" s="9"/>
      <c r="FY24" s="9"/>
      <c r="FZ24" s="9"/>
      <c r="GA24" s="9"/>
      <c r="GB24" s="9"/>
      <c r="GC24" s="9"/>
      <c r="GD24" s="9"/>
      <c r="GE24" s="9"/>
      <c r="GF24" s="9"/>
      <c r="GG24" s="9"/>
      <c r="GH24" s="9"/>
      <c r="GI24" s="9"/>
      <c r="GJ24" s="9"/>
      <c r="GK24" s="9"/>
      <c r="GL24" s="9"/>
      <c r="GM24" s="9"/>
      <c r="GN24" s="9"/>
      <c r="GO24" s="9"/>
      <c r="GP24" s="9"/>
      <c r="GQ24" s="9"/>
      <c r="GR24" s="9"/>
      <c r="GS24" s="9"/>
      <c r="GT24" s="9"/>
      <c r="GU24" s="9"/>
      <c r="GV24" s="9"/>
      <c r="GW24" s="9"/>
      <c r="GX24" s="9"/>
      <c r="GY24" s="9"/>
      <c r="GZ24" s="9"/>
      <c r="HA24" s="9"/>
      <c r="HB24" s="9"/>
      <c r="HC24" s="9"/>
      <c r="HD24" s="9"/>
      <c r="HE24" s="9"/>
      <c r="HF24" s="9"/>
      <c r="HG24" s="9"/>
      <c r="HH24" s="9"/>
      <c r="HI24" s="9"/>
      <c r="HJ24" s="9"/>
      <c r="HK24" s="9"/>
      <c r="HL24" s="9"/>
      <c r="HM24" s="9"/>
      <c r="HN24" s="9"/>
      <c r="HO24" s="9"/>
      <c r="HP24" s="9"/>
      <c r="HQ24" s="9"/>
      <c r="HR24" s="9"/>
      <c r="HS24" s="9"/>
      <c r="HT24" s="9"/>
      <c r="HU24" s="9"/>
      <c r="HV24" s="9"/>
      <c r="HW24" s="9"/>
      <c r="HX24" s="9"/>
      <c r="HY24" s="9"/>
      <c r="HZ24" s="9"/>
      <c r="IA24" s="9"/>
      <c r="IB24" s="9"/>
      <c r="IC24" s="9"/>
      <c r="ID24" s="9"/>
      <c r="IE24" s="9"/>
      <c r="IF24" s="9"/>
      <c r="IG24" s="9"/>
      <c r="IH24" s="9"/>
      <c r="II24" s="9"/>
      <c r="IJ24" s="9"/>
      <c r="IK24" s="9"/>
      <c r="IL24" s="9"/>
      <c r="IM24" s="9"/>
      <c r="IN24" s="9"/>
      <c r="IO24" s="9"/>
      <c r="IP24" s="9"/>
      <c r="IQ24" s="9"/>
      <c r="IR24" s="9"/>
      <c r="IS24" s="9"/>
      <c r="IT24" s="9"/>
      <c r="IU24" s="9"/>
      <c r="IV24" s="9"/>
      <c r="IW24" s="9"/>
      <c r="IX24" s="9"/>
      <c r="IY24" s="9"/>
      <c r="IZ24" s="9"/>
      <c r="JA24" s="9"/>
      <c r="JB24" s="9"/>
      <c r="JG24" s="88"/>
    </row>
    <row r="25" spans="1:267" s="10" customFormat="1" ht="13.8" hidden="1" outlineLevel="1" x14ac:dyDescent="0.25">
      <c r="A25" s="114"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3.2.1.3</v>
      </c>
      <c r="B25" s="94" cm="1">
        <f t="array" ref="B25">FindColor(A25)</f>
        <v>19</v>
      </c>
      <c r="C25" s="74" t="s">
        <v>69</v>
      </c>
      <c r="E25" s="57"/>
      <c r="F25" s="38">
        <v>43129</v>
      </c>
      <c r="G25" s="39">
        <f t="shared" si="213"/>
        <v>43129</v>
      </c>
      <c r="H25" s="11">
        <v>1</v>
      </c>
      <c r="I25" s="12">
        <v>0</v>
      </c>
      <c r="J25" s="13">
        <f t="shared" si="214"/>
        <v>1</v>
      </c>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65"/>
      <c r="BH25" s="9"/>
      <c r="BI25" s="9"/>
      <c r="BJ25" s="9"/>
      <c r="BK25" s="9"/>
      <c r="BL25" s="9"/>
      <c r="BM25" s="9"/>
      <c r="BN25" s="9"/>
      <c r="BO25" s="9"/>
      <c r="BP25" s="9"/>
      <c r="BQ25" s="9"/>
      <c r="BR25" s="9"/>
      <c r="BS25" s="9"/>
      <c r="BT25" s="9"/>
      <c r="BU25" s="9"/>
      <c r="BV25" s="9"/>
      <c r="BW25" s="9"/>
      <c r="BX25" s="9"/>
      <c r="BY25" s="9"/>
      <c r="BZ25" s="9"/>
      <c r="CA25" s="9"/>
      <c r="CB25" s="9"/>
      <c r="CC25" s="9"/>
      <c r="CD25" s="9"/>
      <c r="CE25" s="9"/>
      <c r="CF25" s="9"/>
      <c r="CG25" s="9"/>
      <c r="CH25" s="9"/>
      <c r="CI25" s="9"/>
      <c r="CJ25" s="9"/>
      <c r="CK25" s="9"/>
      <c r="CL25" s="9"/>
      <c r="CM25" s="9"/>
      <c r="CN25" s="9"/>
      <c r="CO25" s="9"/>
      <c r="CP25" s="9"/>
      <c r="CQ25" s="9"/>
      <c r="CR25" s="9"/>
      <c r="CS25" s="9"/>
      <c r="CT25" s="9"/>
      <c r="CU25" s="9"/>
      <c r="CV25" s="9"/>
      <c r="CW25" s="9"/>
      <c r="CX25" s="9"/>
      <c r="CY25" s="9"/>
      <c r="CZ25" s="9"/>
      <c r="DA25" s="9"/>
      <c r="DB25" s="9"/>
      <c r="DC25" s="9"/>
      <c r="DD25" s="9"/>
      <c r="DE25" s="9"/>
      <c r="DF25" s="9"/>
      <c r="DG25" s="9"/>
      <c r="DH25" s="9"/>
      <c r="DI25" s="9"/>
      <c r="DJ25" s="9"/>
      <c r="DK25" s="9"/>
      <c r="DL25" s="9"/>
      <c r="DM25" s="9"/>
      <c r="DN25" s="9"/>
      <c r="DO25" s="9"/>
      <c r="DP25" s="9"/>
      <c r="DQ25" s="9"/>
      <c r="DR25" s="9"/>
      <c r="DS25" s="9"/>
      <c r="DT25" s="9"/>
      <c r="DU25" s="9"/>
      <c r="DV25" s="9"/>
      <c r="DW25" s="9"/>
      <c r="DX25" s="9"/>
      <c r="DY25" s="9"/>
      <c r="DZ25" s="9"/>
      <c r="EA25" s="9"/>
      <c r="EB25" s="9"/>
      <c r="EC25" s="9"/>
      <c r="ED25" s="9"/>
      <c r="EE25" s="9"/>
      <c r="EF25" s="9"/>
      <c r="EG25" s="9"/>
      <c r="EH25" s="9"/>
      <c r="EI25" s="9"/>
      <c r="EJ25" s="9"/>
      <c r="EK25" s="9"/>
      <c r="EL25" s="9"/>
      <c r="EM25" s="9"/>
      <c r="EN25" s="9"/>
      <c r="EO25" s="9"/>
      <c r="EP25" s="9"/>
      <c r="EQ25" s="9"/>
      <c r="ER25" s="9"/>
      <c r="ES25" s="9"/>
      <c r="ET25" s="9"/>
      <c r="EU25" s="9"/>
      <c r="EV25" s="9"/>
      <c r="EW25" s="9"/>
      <c r="EX25" s="9"/>
      <c r="EY25" s="9"/>
      <c r="EZ25" s="9"/>
      <c r="FA25" s="9"/>
      <c r="FB25" s="9"/>
      <c r="FC25" s="9"/>
      <c r="FD25" s="9"/>
      <c r="FE25" s="9"/>
      <c r="FF25" s="9"/>
      <c r="FG25" s="9"/>
      <c r="FH25" s="9"/>
      <c r="FI25" s="9"/>
      <c r="FJ25" s="9"/>
      <c r="FK25" s="9"/>
      <c r="FL25" s="9"/>
      <c r="FM25" s="9"/>
      <c r="FN25" s="9"/>
      <c r="FO25" s="9"/>
      <c r="FP25" s="9"/>
      <c r="FQ25" s="9"/>
      <c r="FR25" s="9"/>
      <c r="FS25" s="9"/>
      <c r="FT25" s="9"/>
      <c r="FU25" s="9"/>
      <c r="FV25" s="9"/>
      <c r="FW25" s="9"/>
      <c r="FX25" s="9"/>
      <c r="FY25" s="9"/>
      <c r="FZ25" s="9"/>
      <c r="GA25" s="9"/>
      <c r="GB25" s="9"/>
      <c r="GC25" s="9"/>
      <c r="GD25" s="9"/>
      <c r="GE25" s="9"/>
      <c r="GF25" s="9"/>
      <c r="GG25" s="9"/>
      <c r="GH25" s="9"/>
      <c r="GI25" s="9"/>
      <c r="GJ25" s="9"/>
      <c r="GK25" s="9"/>
      <c r="GL25" s="9"/>
      <c r="GM25" s="9"/>
      <c r="GN25" s="9"/>
      <c r="GO25" s="9"/>
      <c r="GP25" s="9"/>
      <c r="GQ25" s="9"/>
      <c r="GR25" s="9"/>
      <c r="GS25" s="9"/>
      <c r="GT25" s="9"/>
      <c r="GU25" s="9"/>
      <c r="GV25" s="9"/>
      <c r="GW25" s="9"/>
      <c r="GX25" s="9"/>
      <c r="GY25" s="9"/>
      <c r="GZ25" s="9"/>
      <c r="HA25" s="9"/>
      <c r="HB25" s="9"/>
      <c r="HC25" s="9"/>
      <c r="HD25" s="9"/>
      <c r="HE25" s="9"/>
      <c r="HF25" s="9"/>
      <c r="HG25" s="9"/>
      <c r="HH25" s="9"/>
      <c r="HI25" s="9"/>
      <c r="HJ25" s="9"/>
      <c r="HK25" s="9"/>
      <c r="HL25" s="9"/>
      <c r="HM25" s="9"/>
      <c r="HN25" s="9"/>
      <c r="HO25" s="9"/>
      <c r="HP25" s="9"/>
      <c r="HQ25" s="9"/>
      <c r="HR25" s="9"/>
      <c r="HS25" s="9"/>
      <c r="HT25" s="9"/>
      <c r="HU25" s="9"/>
      <c r="HV25" s="9"/>
      <c r="HW25" s="9"/>
      <c r="HX25" s="9"/>
      <c r="HY25" s="9"/>
      <c r="HZ25" s="9"/>
      <c r="IA25" s="9"/>
      <c r="IB25" s="9"/>
      <c r="IC25" s="9"/>
      <c r="ID25" s="9"/>
      <c r="IE25" s="9"/>
      <c r="IF25" s="9"/>
      <c r="IG25" s="9"/>
      <c r="IH25" s="9"/>
      <c r="II25" s="9"/>
      <c r="IJ25" s="9"/>
      <c r="IK25" s="9"/>
      <c r="IL25" s="9"/>
      <c r="IM25" s="9"/>
      <c r="IN25" s="9"/>
      <c r="IO25" s="9"/>
      <c r="IP25" s="9"/>
      <c r="IQ25" s="9"/>
      <c r="IR25" s="9"/>
      <c r="IS25" s="9"/>
      <c r="IT25" s="9"/>
      <c r="IU25" s="9"/>
      <c r="IV25" s="9"/>
      <c r="IW25" s="9"/>
      <c r="IX25" s="9"/>
      <c r="IY25" s="9"/>
      <c r="IZ25" s="9"/>
      <c r="JA25" s="9"/>
      <c r="JB25" s="9"/>
      <c r="JG25" s="88"/>
    </row>
    <row r="26" spans="1:267" s="4" customFormat="1" ht="13.8" collapsed="1" x14ac:dyDescent="0.25">
      <c r="A26" s="67" t="str">
        <f>IF(ISERROR(VALUE(SUBSTITUTE(prevWBS,".",""))),"1",IF(ISERROR(FIND("`",SUBSTITUTE(prevWBS,".","`",1))),TEXT(VALUE(prevWBS)+1,"#"),TEXT(VALUE(LEFT(prevWBS,FIND("`",SUBSTITUTE(prevWBS,".","`",1))-1))+1,"#")))</f>
        <v>4</v>
      </c>
      <c r="B26" s="94" cm="1">
        <f t="array" ref="B26">FindColor(A26)</f>
        <v>15</v>
      </c>
      <c r="C26" s="67" t="s">
        <v>45</v>
      </c>
      <c r="E26" s="5"/>
      <c r="F26" s="40"/>
      <c r="G26" s="40" t="str">
        <f t="shared" ref="G26:G27" si="217">IF(ISBLANK(F26)," - ",IF(H26=0,F26,F26+H26-1))</f>
        <v xml:space="preserve"> - </v>
      </c>
      <c r="H26" s="6"/>
      <c r="I26" s="7"/>
      <c r="J26" s="8" t="str">
        <f t="shared" si="204"/>
        <v xml:space="preserve"> - </v>
      </c>
      <c r="K26" s="45"/>
      <c r="L26" s="45"/>
      <c r="M26" s="45"/>
      <c r="N26" s="45"/>
      <c r="O26" s="45"/>
      <c r="P26" s="45"/>
      <c r="Q26" s="45"/>
      <c r="R26" s="65"/>
      <c r="S26" s="45"/>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c r="BB26" s="45"/>
      <c r="BC26" s="45"/>
      <c r="BD26" s="45"/>
      <c r="BE26" s="45"/>
      <c r="BF26" s="45"/>
      <c r="BG26" s="45"/>
      <c r="BH26" s="45"/>
      <c r="BI26" s="45"/>
      <c r="BJ26" s="45"/>
      <c r="BK26" s="45"/>
      <c r="BL26" s="45"/>
      <c r="BM26" s="45"/>
      <c r="BN26" s="45"/>
      <c r="BO26" s="45"/>
      <c r="BP26" s="45"/>
      <c r="BQ26" s="45"/>
      <c r="BR26" s="45"/>
      <c r="BS26" s="45"/>
      <c r="BT26" s="45"/>
      <c r="BU26" s="45"/>
      <c r="BV26" s="45"/>
      <c r="BW26" s="45"/>
      <c r="BX26" s="45"/>
      <c r="BY26" s="45"/>
      <c r="BZ26" s="45"/>
      <c r="CA26" s="45"/>
      <c r="CB26" s="45"/>
      <c r="CC26" s="45"/>
      <c r="CD26" s="45"/>
      <c r="CE26" s="45"/>
      <c r="CF26" s="45"/>
      <c r="CG26" s="45"/>
      <c r="CH26" s="45"/>
      <c r="CI26" s="45"/>
      <c r="CJ26" s="45"/>
      <c r="CK26" s="45"/>
      <c r="CL26" s="45"/>
      <c r="CM26" s="45"/>
      <c r="CN26" s="45"/>
      <c r="CO26" s="45"/>
      <c r="CP26" s="45"/>
      <c r="CQ26" s="45"/>
      <c r="CR26" s="45"/>
      <c r="CS26" s="45"/>
      <c r="CT26" s="45"/>
      <c r="CU26" s="45"/>
      <c r="CV26" s="45"/>
      <c r="CW26" s="45"/>
      <c r="CX26" s="45"/>
      <c r="CY26" s="45"/>
      <c r="CZ26" s="45"/>
      <c r="DA26" s="45"/>
      <c r="DB26" s="45"/>
      <c r="DC26" s="45"/>
      <c r="DD26" s="45"/>
      <c r="DE26" s="45"/>
      <c r="DF26" s="45"/>
      <c r="DG26" s="45"/>
      <c r="DH26" s="45"/>
      <c r="DI26" s="45"/>
      <c r="DJ26" s="45"/>
      <c r="DK26" s="45"/>
      <c r="DL26" s="45"/>
      <c r="DM26" s="45"/>
      <c r="DN26" s="45"/>
      <c r="DO26" s="45"/>
      <c r="DP26" s="45"/>
      <c r="DQ26" s="45"/>
      <c r="DR26" s="45"/>
      <c r="DS26" s="45"/>
      <c r="DT26" s="45"/>
      <c r="DU26" s="45"/>
      <c r="DV26" s="45"/>
      <c r="DW26" s="45"/>
      <c r="DX26" s="45"/>
      <c r="DY26" s="45"/>
      <c r="DZ26" s="45"/>
      <c r="EA26" s="45"/>
      <c r="EB26" s="45"/>
      <c r="EC26" s="45"/>
      <c r="ED26" s="45"/>
      <c r="EE26" s="45"/>
      <c r="EF26" s="45"/>
      <c r="EG26" s="45"/>
      <c r="EH26" s="45"/>
      <c r="EI26" s="45"/>
      <c r="EJ26" s="45"/>
      <c r="EK26" s="45"/>
      <c r="EL26" s="45"/>
      <c r="EM26" s="45"/>
      <c r="EN26" s="45"/>
      <c r="EO26" s="45"/>
      <c r="EP26" s="45"/>
      <c r="EQ26" s="45"/>
      <c r="ER26" s="45"/>
      <c r="ES26" s="45"/>
      <c r="ET26" s="45"/>
      <c r="EU26" s="45"/>
      <c r="EV26" s="45"/>
      <c r="EW26" s="45"/>
      <c r="EX26" s="45"/>
      <c r="EY26" s="45"/>
      <c r="EZ26" s="45"/>
      <c r="FA26" s="45"/>
      <c r="FB26" s="45"/>
      <c r="FC26" s="45"/>
      <c r="FD26" s="45"/>
      <c r="FE26" s="45"/>
      <c r="FF26" s="45"/>
      <c r="FG26" s="45"/>
      <c r="FH26" s="45"/>
      <c r="FI26" s="45"/>
      <c r="FJ26" s="45"/>
      <c r="FK26" s="45"/>
      <c r="FL26" s="45"/>
      <c r="FM26" s="45"/>
      <c r="FN26" s="45"/>
      <c r="FO26" s="45"/>
      <c r="FP26" s="45"/>
      <c r="FQ26" s="45"/>
      <c r="FR26" s="45"/>
      <c r="FS26" s="45"/>
      <c r="FT26" s="45"/>
      <c r="FU26" s="45"/>
      <c r="FV26" s="45"/>
      <c r="FW26" s="45"/>
      <c r="FX26" s="45"/>
      <c r="FY26" s="45"/>
      <c r="FZ26" s="45"/>
      <c r="GA26" s="45"/>
      <c r="GB26" s="45"/>
      <c r="GC26" s="45"/>
      <c r="GD26" s="45"/>
      <c r="GE26" s="45"/>
      <c r="GF26" s="45"/>
      <c r="GG26" s="45"/>
      <c r="GH26" s="45"/>
      <c r="GI26" s="45"/>
      <c r="GJ26" s="45"/>
      <c r="GK26" s="45"/>
      <c r="GL26" s="45"/>
      <c r="GM26" s="45"/>
      <c r="GN26" s="45"/>
      <c r="GO26" s="45"/>
      <c r="GP26" s="45"/>
      <c r="GQ26" s="45"/>
      <c r="GR26" s="45"/>
      <c r="GS26" s="45"/>
      <c r="GT26" s="45"/>
      <c r="GU26" s="45"/>
      <c r="GV26" s="45"/>
      <c r="GW26" s="45"/>
      <c r="GX26" s="45"/>
      <c r="GY26" s="45"/>
      <c r="GZ26" s="45"/>
      <c r="HA26" s="45"/>
      <c r="HB26" s="45"/>
      <c r="HC26" s="45"/>
      <c r="HD26" s="45"/>
      <c r="HE26" s="45"/>
      <c r="HF26" s="45"/>
      <c r="HG26" s="45"/>
      <c r="HH26" s="45"/>
      <c r="HI26" s="45"/>
      <c r="HJ26" s="45"/>
      <c r="HK26" s="45"/>
      <c r="HL26" s="45"/>
      <c r="HM26" s="45"/>
      <c r="HN26" s="45"/>
      <c r="HO26" s="45"/>
      <c r="HP26" s="45"/>
      <c r="HQ26" s="45"/>
      <c r="HR26" s="45"/>
      <c r="HS26" s="45"/>
      <c r="HT26" s="45"/>
      <c r="HU26" s="45"/>
      <c r="HV26" s="45"/>
      <c r="HW26" s="45"/>
      <c r="HX26" s="45"/>
      <c r="HY26" s="45"/>
      <c r="HZ26" s="45"/>
      <c r="IA26" s="45"/>
      <c r="IB26" s="45"/>
      <c r="IC26" s="45"/>
      <c r="ID26" s="45"/>
      <c r="IE26" s="45"/>
      <c r="IF26" s="45"/>
      <c r="IG26" s="45"/>
      <c r="IH26" s="45"/>
      <c r="II26" s="45"/>
      <c r="IJ26" s="45"/>
      <c r="IK26" s="45"/>
      <c r="IL26" s="45"/>
      <c r="IM26" s="45"/>
      <c r="IN26" s="45"/>
      <c r="IO26" s="45"/>
      <c r="IP26" s="45"/>
      <c r="IQ26" s="45"/>
      <c r="IR26" s="45"/>
      <c r="IS26" s="45"/>
      <c r="IT26" s="45"/>
      <c r="IU26" s="45"/>
      <c r="IV26" s="45"/>
      <c r="IW26" s="45"/>
      <c r="IX26" s="45"/>
      <c r="IY26" s="45"/>
      <c r="IZ26" s="45"/>
      <c r="JA26" s="45"/>
      <c r="JB26" s="45"/>
      <c r="JG26" s="87"/>
    </row>
    <row r="27" spans="1:267" s="10" customFormat="1" ht="13.8" hidden="1" outlineLevel="1" x14ac:dyDescent="0.25">
      <c r="A27" s="9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4.1</v>
      </c>
      <c r="B27" s="94" cm="1">
        <f t="array" ref="B27">FindColor(A27)</f>
        <v>35</v>
      </c>
      <c r="C27" s="56" t="s">
        <v>30</v>
      </c>
      <c r="E27" s="57"/>
      <c r="F27" s="38">
        <v>43141</v>
      </c>
      <c r="G27" s="39">
        <f t="shared" si="217"/>
        <v>43144</v>
      </c>
      <c r="H27" s="11">
        <v>4</v>
      </c>
      <c r="I27" s="12">
        <v>0</v>
      </c>
      <c r="J27" s="13">
        <f t="shared" si="204"/>
        <v>2</v>
      </c>
      <c r="K27" s="9"/>
      <c r="L27" s="9"/>
      <c r="M27" s="9"/>
      <c r="N27" s="9"/>
      <c r="O27" s="9"/>
      <c r="P27" s="9"/>
      <c r="Q27" s="9"/>
      <c r="R27" s="65"/>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c r="BS27" s="9"/>
      <c r="BT27" s="9"/>
      <c r="BU27" s="9"/>
      <c r="BV27" s="9"/>
      <c r="BW27" s="9"/>
      <c r="BX27" s="9"/>
      <c r="BY27" s="9"/>
      <c r="BZ27" s="9"/>
      <c r="CA27" s="9"/>
      <c r="CB27" s="9"/>
      <c r="CC27" s="9"/>
      <c r="CD27" s="9"/>
      <c r="CE27" s="9"/>
      <c r="CF27" s="9"/>
      <c r="CG27" s="9"/>
      <c r="CH27" s="9"/>
      <c r="CI27" s="9"/>
      <c r="CJ27" s="9"/>
      <c r="CK27" s="9"/>
      <c r="CL27" s="9"/>
      <c r="CM27" s="9"/>
      <c r="CN27" s="9"/>
      <c r="CO27" s="9"/>
      <c r="CP27" s="9"/>
      <c r="CQ27" s="9"/>
      <c r="CR27" s="9"/>
      <c r="CS27" s="9"/>
      <c r="CT27" s="9"/>
      <c r="CU27" s="9"/>
      <c r="CV27" s="9"/>
      <c r="CW27" s="9"/>
      <c r="CX27" s="9"/>
      <c r="CY27" s="9"/>
      <c r="CZ27" s="9"/>
      <c r="DA27" s="9"/>
      <c r="DB27" s="9"/>
      <c r="DC27" s="9"/>
      <c r="DD27" s="9"/>
      <c r="DE27" s="9"/>
      <c r="DF27" s="9"/>
      <c r="DG27" s="9"/>
      <c r="DH27" s="9"/>
      <c r="DI27" s="9"/>
      <c r="DJ27" s="9"/>
      <c r="DK27" s="9"/>
      <c r="DL27" s="9"/>
      <c r="DM27" s="9"/>
      <c r="DN27" s="9"/>
      <c r="DO27" s="9"/>
      <c r="DP27" s="9"/>
      <c r="DQ27" s="9"/>
      <c r="DR27" s="9"/>
      <c r="DS27" s="9"/>
      <c r="DT27" s="9"/>
      <c r="DU27" s="9"/>
      <c r="DV27" s="9"/>
      <c r="DW27" s="9"/>
      <c r="DX27" s="9"/>
      <c r="DY27" s="9"/>
      <c r="DZ27" s="9"/>
      <c r="EA27" s="9"/>
      <c r="EB27" s="9"/>
      <c r="EC27" s="9"/>
      <c r="ED27" s="9"/>
      <c r="EE27" s="9"/>
      <c r="EF27" s="9"/>
      <c r="EG27" s="9"/>
      <c r="EH27" s="9"/>
      <c r="EI27" s="9"/>
      <c r="EJ27" s="9"/>
      <c r="EK27" s="9"/>
      <c r="EL27" s="9"/>
      <c r="EM27" s="9"/>
      <c r="EN27" s="9"/>
      <c r="EO27" s="9"/>
      <c r="EP27" s="9"/>
      <c r="EQ27" s="9"/>
      <c r="ER27" s="9"/>
      <c r="ES27" s="9"/>
      <c r="ET27" s="9"/>
      <c r="EU27" s="9"/>
      <c r="EV27" s="9"/>
      <c r="EW27" s="9"/>
      <c r="EX27" s="9"/>
      <c r="EY27" s="9"/>
      <c r="EZ27" s="9"/>
      <c r="FA27" s="9"/>
      <c r="FB27" s="9"/>
      <c r="FC27" s="9"/>
      <c r="FD27" s="9"/>
      <c r="FE27" s="9"/>
      <c r="FF27" s="9"/>
      <c r="FG27" s="9"/>
      <c r="FH27" s="9"/>
      <c r="FI27" s="9"/>
      <c r="FJ27" s="9"/>
      <c r="FK27" s="9"/>
      <c r="FL27" s="9"/>
      <c r="FM27" s="9"/>
      <c r="FN27" s="9"/>
      <c r="FO27" s="9"/>
      <c r="FP27" s="9"/>
      <c r="FQ27" s="9"/>
      <c r="FR27" s="9"/>
      <c r="FS27" s="9"/>
      <c r="FT27" s="9"/>
      <c r="FU27" s="9"/>
      <c r="FV27" s="9"/>
      <c r="FW27" s="9"/>
      <c r="FX27" s="9"/>
      <c r="FY27" s="9"/>
      <c r="FZ27" s="9"/>
      <c r="GA27" s="9"/>
      <c r="GB27" s="9"/>
      <c r="GC27" s="9"/>
      <c r="GD27" s="9"/>
      <c r="GE27" s="9"/>
      <c r="GF27" s="9"/>
      <c r="GG27" s="9"/>
      <c r="GH27" s="9"/>
      <c r="GI27" s="9"/>
      <c r="GJ27" s="9"/>
      <c r="GK27" s="9"/>
      <c r="GL27" s="9"/>
      <c r="GM27" s="9"/>
      <c r="GN27" s="9"/>
      <c r="GO27" s="9"/>
      <c r="GP27" s="9"/>
      <c r="GQ27" s="9"/>
      <c r="GR27" s="9"/>
      <c r="GS27" s="9"/>
      <c r="GT27" s="9"/>
      <c r="GU27" s="9"/>
      <c r="GV27" s="9"/>
      <c r="GW27" s="9"/>
      <c r="GX27" s="9"/>
      <c r="GY27" s="9"/>
      <c r="GZ27" s="9"/>
      <c r="HA27" s="9"/>
      <c r="HB27" s="9"/>
      <c r="HC27" s="9"/>
      <c r="HD27" s="9"/>
      <c r="HE27" s="9"/>
      <c r="HF27" s="9"/>
      <c r="HG27" s="9"/>
      <c r="HH27" s="9"/>
      <c r="HI27" s="9"/>
      <c r="HJ27" s="9"/>
      <c r="HK27" s="9"/>
      <c r="HL27" s="9"/>
      <c r="HM27" s="9"/>
      <c r="HN27" s="9"/>
      <c r="HO27" s="9"/>
      <c r="HP27" s="9"/>
      <c r="HQ27" s="9"/>
      <c r="HR27" s="9"/>
      <c r="HS27" s="9"/>
      <c r="HT27" s="9"/>
      <c r="HU27" s="9"/>
      <c r="HV27" s="9"/>
      <c r="HW27" s="9"/>
      <c r="HX27" s="9"/>
      <c r="HY27" s="9"/>
      <c r="HZ27" s="9"/>
      <c r="IA27" s="9"/>
      <c r="IB27" s="9"/>
      <c r="IC27" s="9"/>
      <c r="ID27" s="9"/>
      <c r="IE27" s="9"/>
      <c r="IF27" s="9"/>
      <c r="IG27" s="9"/>
      <c r="IH27" s="9"/>
      <c r="II27" s="9"/>
      <c r="IJ27" s="9"/>
      <c r="IK27" s="9"/>
      <c r="IL27" s="9"/>
      <c r="IM27" s="9"/>
      <c r="IN27" s="9"/>
      <c r="IO27" s="9"/>
      <c r="IP27" s="9"/>
      <c r="IQ27" s="9"/>
      <c r="IR27" s="9"/>
      <c r="IS27" s="9"/>
      <c r="IT27" s="9"/>
      <c r="IU27" s="9"/>
      <c r="IV27" s="9"/>
      <c r="IW27" s="9"/>
      <c r="IX27" s="9"/>
      <c r="IY27" s="9"/>
      <c r="IZ27" s="9"/>
      <c r="JA27" s="9"/>
      <c r="JB27" s="9"/>
      <c r="JG27" s="88"/>
    </row>
    <row r="28" spans="1:267" s="10" customFormat="1" ht="13.8" hidden="1" outlineLevel="1" x14ac:dyDescent="0.25">
      <c r="A28" s="9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4.1.1</v>
      </c>
      <c r="B28" s="94" cm="1">
        <f t="array" ref="B28">FindColor(A28)</f>
        <v>24</v>
      </c>
      <c r="C28" s="68" t="s">
        <v>31</v>
      </c>
      <c r="E28" s="59"/>
      <c r="F28" s="60"/>
      <c r="G28" s="61"/>
      <c r="H28" s="62"/>
      <c r="I28" s="63"/>
      <c r="J28" s="64"/>
      <c r="K28" s="9"/>
      <c r="L28" s="9"/>
      <c r="M28" s="9"/>
      <c r="N28" s="9"/>
      <c r="O28" s="9"/>
      <c r="P28" s="9"/>
      <c r="Q28" s="9"/>
      <c r="R28" s="65"/>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c r="BS28" s="9"/>
      <c r="BT28" s="9"/>
      <c r="BU28" s="9"/>
      <c r="BV28" s="9"/>
      <c r="BW28" s="9"/>
      <c r="BX28" s="9"/>
      <c r="BY28" s="9"/>
      <c r="BZ28" s="9"/>
      <c r="CA28" s="9"/>
      <c r="CB28" s="9"/>
      <c r="CC28" s="9"/>
      <c r="CD28" s="9"/>
      <c r="CE28" s="9"/>
      <c r="CF28" s="9"/>
      <c r="CG28" s="9"/>
      <c r="CH28" s="9"/>
      <c r="CI28" s="9"/>
      <c r="CJ28" s="9"/>
      <c r="CK28" s="9"/>
      <c r="CL28" s="9"/>
      <c r="CM28" s="9"/>
      <c r="CN28" s="9"/>
      <c r="CO28" s="9"/>
      <c r="CP28" s="9"/>
      <c r="CQ28" s="9"/>
      <c r="CR28" s="9"/>
      <c r="CS28" s="9"/>
      <c r="CT28" s="9"/>
      <c r="CU28" s="9"/>
      <c r="CV28" s="9"/>
      <c r="CW28" s="9"/>
      <c r="CX28" s="9"/>
      <c r="CY28" s="9"/>
      <c r="CZ28" s="9"/>
      <c r="DA28" s="9"/>
      <c r="DB28" s="9"/>
      <c r="DC28" s="9"/>
      <c r="DD28" s="9"/>
      <c r="DE28" s="9"/>
      <c r="DF28" s="9"/>
      <c r="DG28" s="9"/>
      <c r="DH28" s="9"/>
      <c r="DI28" s="9"/>
      <c r="DJ28" s="9"/>
      <c r="DK28" s="9"/>
      <c r="DL28" s="9"/>
      <c r="DM28" s="9"/>
      <c r="DN28" s="9"/>
      <c r="DO28" s="9"/>
      <c r="DP28" s="9"/>
      <c r="DQ28" s="9"/>
      <c r="DR28" s="9"/>
      <c r="DS28" s="9"/>
      <c r="DT28" s="9"/>
      <c r="DU28" s="9"/>
      <c r="DV28" s="9"/>
      <c r="DW28" s="9"/>
      <c r="DX28" s="9"/>
      <c r="DY28" s="9"/>
      <c r="DZ28" s="9"/>
      <c r="EA28" s="9"/>
      <c r="EB28" s="9"/>
      <c r="EC28" s="9"/>
      <c r="ED28" s="9"/>
      <c r="EE28" s="9"/>
      <c r="EF28" s="9"/>
      <c r="EG28" s="9"/>
      <c r="EH28" s="9"/>
      <c r="EI28" s="9"/>
      <c r="EJ28" s="9"/>
      <c r="EK28" s="9"/>
      <c r="EL28" s="9"/>
      <c r="EM28" s="9"/>
      <c r="EN28" s="9"/>
      <c r="EO28" s="9"/>
      <c r="EP28" s="9"/>
      <c r="EQ28" s="9"/>
      <c r="ER28" s="9"/>
      <c r="ES28" s="9"/>
      <c r="ET28" s="9"/>
      <c r="EU28" s="9"/>
      <c r="EV28" s="9"/>
      <c r="EW28" s="9"/>
      <c r="EX28" s="9"/>
      <c r="EY28" s="9"/>
      <c r="EZ28" s="9"/>
      <c r="FA28" s="9"/>
      <c r="FB28" s="9"/>
      <c r="FC28" s="9"/>
      <c r="FD28" s="9"/>
      <c r="FE28" s="9"/>
      <c r="FF28" s="9"/>
      <c r="FG28" s="9"/>
      <c r="FH28" s="9"/>
      <c r="FI28" s="9"/>
      <c r="FJ28" s="9"/>
      <c r="FK28" s="9"/>
      <c r="FL28" s="9"/>
      <c r="FM28" s="9"/>
      <c r="FN28" s="9"/>
      <c r="FO28" s="9"/>
      <c r="FP28" s="9"/>
      <c r="FQ28" s="9"/>
      <c r="FR28" s="9"/>
      <c r="FS28" s="9"/>
      <c r="FT28" s="9"/>
      <c r="FU28" s="9"/>
      <c r="FV28" s="9"/>
      <c r="FW28" s="9"/>
      <c r="FX28" s="9"/>
      <c r="FY28" s="9"/>
      <c r="FZ28" s="9"/>
      <c r="GA28" s="9"/>
      <c r="GB28" s="9"/>
      <c r="GC28" s="9"/>
      <c r="GD28" s="9"/>
      <c r="GE28" s="9"/>
      <c r="GF28" s="9"/>
      <c r="GG28" s="9"/>
      <c r="GH28" s="9"/>
      <c r="GI28" s="9"/>
      <c r="GJ28" s="9"/>
      <c r="GK28" s="9"/>
      <c r="GL28" s="9"/>
      <c r="GM28" s="9"/>
      <c r="GN28" s="9"/>
      <c r="GO28" s="9"/>
      <c r="GP28" s="9"/>
      <c r="GQ28" s="9"/>
      <c r="GR28" s="9"/>
      <c r="GS28" s="9"/>
      <c r="GT28" s="9"/>
      <c r="GU28" s="9"/>
      <c r="GV28" s="9"/>
      <c r="GW28" s="9"/>
      <c r="GX28" s="9"/>
      <c r="GY28" s="9"/>
      <c r="GZ28" s="9"/>
      <c r="HA28" s="9"/>
      <c r="HB28" s="9"/>
      <c r="HC28" s="9"/>
      <c r="HD28" s="9"/>
      <c r="HE28" s="9"/>
      <c r="HF28" s="9"/>
      <c r="HG28" s="9"/>
      <c r="HH28" s="9"/>
      <c r="HI28" s="9"/>
      <c r="HJ28" s="9"/>
      <c r="HK28" s="9"/>
      <c r="HL28" s="9"/>
      <c r="HM28" s="9"/>
      <c r="HN28" s="9"/>
      <c r="HO28" s="9"/>
      <c r="HP28" s="9"/>
      <c r="HQ28" s="9"/>
      <c r="HR28" s="9"/>
      <c r="HS28" s="9"/>
      <c r="HT28" s="9"/>
      <c r="HU28" s="9"/>
      <c r="HV28" s="9"/>
      <c r="HW28" s="9"/>
      <c r="HX28" s="9"/>
      <c r="HY28" s="9"/>
      <c r="HZ28" s="9"/>
      <c r="IA28" s="9"/>
      <c r="IB28" s="9"/>
      <c r="IC28" s="9"/>
      <c r="ID28" s="9"/>
      <c r="IE28" s="9"/>
      <c r="IF28" s="9"/>
      <c r="IG28" s="9"/>
      <c r="IH28" s="9"/>
      <c r="II28" s="9"/>
      <c r="IJ28" s="9"/>
      <c r="IK28" s="9"/>
      <c r="IL28" s="9"/>
      <c r="IM28" s="9"/>
      <c r="IN28" s="9"/>
      <c r="IO28" s="9"/>
      <c r="IP28" s="9"/>
      <c r="IQ28" s="9"/>
      <c r="IR28" s="9"/>
      <c r="IS28" s="9"/>
      <c r="IT28" s="9"/>
      <c r="IU28" s="9"/>
      <c r="IV28" s="9"/>
      <c r="IW28" s="9"/>
      <c r="IX28" s="9"/>
      <c r="IY28" s="9"/>
      <c r="IZ28" s="9"/>
      <c r="JA28" s="9"/>
      <c r="JB28" s="9"/>
      <c r="JG28" s="88"/>
    </row>
    <row r="29" spans="1:267" s="10" customFormat="1" ht="13.8" hidden="1" outlineLevel="1" x14ac:dyDescent="0.25">
      <c r="A29" s="9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4.1.2</v>
      </c>
      <c r="B29" s="94" cm="1">
        <f t="array" ref="B29">FindColor(A29)</f>
        <v>24</v>
      </c>
      <c r="C29" s="68" t="s">
        <v>32</v>
      </c>
      <c r="E29" s="59"/>
      <c r="F29" s="60"/>
      <c r="G29" s="61"/>
      <c r="H29" s="62"/>
      <c r="I29" s="63"/>
      <c r="J29" s="64"/>
      <c r="K29" s="9"/>
      <c r="L29" s="9"/>
      <c r="M29" s="9"/>
      <c r="N29" s="9"/>
      <c r="O29" s="9"/>
      <c r="P29" s="9"/>
      <c r="Q29" s="9"/>
      <c r="R29" s="65"/>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c r="BS29" s="9"/>
      <c r="BT29" s="9"/>
      <c r="BU29" s="9"/>
      <c r="BV29" s="9"/>
      <c r="BW29" s="9"/>
      <c r="BX29" s="9"/>
      <c r="BY29" s="9"/>
      <c r="BZ29" s="9"/>
      <c r="CA29" s="9"/>
      <c r="CB29" s="9"/>
      <c r="CC29" s="9"/>
      <c r="CD29" s="9"/>
      <c r="CE29" s="9"/>
      <c r="CF29" s="9"/>
      <c r="CG29" s="9"/>
      <c r="CH29" s="9"/>
      <c r="CI29" s="9"/>
      <c r="CJ29" s="9"/>
      <c r="CK29" s="9"/>
      <c r="CL29" s="9"/>
      <c r="CM29" s="9"/>
      <c r="CN29" s="9"/>
      <c r="CO29" s="9"/>
      <c r="CP29" s="9"/>
      <c r="CQ29" s="9"/>
      <c r="CR29" s="9"/>
      <c r="CS29" s="9"/>
      <c r="CT29" s="9"/>
      <c r="CU29" s="9"/>
      <c r="CV29" s="9"/>
      <c r="CW29" s="9"/>
      <c r="CX29" s="9"/>
      <c r="CY29" s="9"/>
      <c r="CZ29" s="9"/>
      <c r="DA29" s="9"/>
      <c r="DB29" s="9"/>
      <c r="DC29" s="9"/>
      <c r="DD29" s="9"/>
      <c r="DE29" s="9"/>
      <c r="DF29" s="9"/>
      <c r="DG29" s="9"/>
      <c r="DH29" s="9"/>
      <c r="DI29" s="9"/>
      <c r="DJ29" s="9"/>
      <c r="DK29" s="9"/>
      <c r="DL29" s="9"/>
      <c r="DM29" s="9"/>
      <c r="DN29" s="9"/>
      <c r="DO29" s="9"/>
      <c r="DP29" s="9"/>
      <c r="DQ29" s="9"/>
      <c r="DR29" s="9"/>
      <c r="DS29" s="9"/>
      <c r="DT29" s="9"/>
      <c r="DU29" s="9"/>
      <c r="DV29" s="9"/>
      <c r="DW29" s="9"/>
      <c r="DX29" s="9"/>
      <c r="DY29" s="9"/>
      <c r="DZ29" s="9"/>
      <c r="EA29" s="9"/>
      <c r="EB29" s="9"/>
      <c r="EC29" s="9"/>
      <c r="ED29" s="9"/>
      <c r="EE29" s="9"/>
      <c r="EF29" s="9"/>
      <c r="EG29" s="9"/>
      <c r="EH29" s="9"/>
      <c r="EI29" s="9"/>
      <c r="EJ29" s="9"/>
      <c r="EK29" s="9"/>
      <c r="EL29" s="9"/>
      <c r="EM29" s="9"/>
      <c r="EN29" s="9"/>
      <c r="EO29" s="9"/>
      <c r="EP29" s="9"/>
      <c r="EQ29" s="9"/>
      <c r="ER29" s="9"/>
      <c r="ES29" s="9"/>
      <c r="ET29" s="9"/>
      <c r="EU29" s="9"/>
      <c r="EV29" s="9"/>
      <c r="EW29" s="9"/>
      <c r="EX29" s="9"/>
      <c r="EY29" s="9"/>
      <c r="EZ29" s="9"/>
      <c r="FA29" s="9"/>
      <c r="FB29" s="9"/>
      <c r="FC29" s="9"/>
      <c r="FD29" s="9"/>
      <c r="FE29" s="9"/>
      <c r="FF29" s="9"/>
      <c r="FG29" s="9"/>
      <c r="FH29" s="9"/>
      <c r="FI29" s="9"/>
      <c r="FJ29" s="9"/>
      <c r="FK29" s="9"/>
      <c r="FL29" s="9"/>
      <c r="FM29" s="9"/>
      <c r="FN29" s="9"/>
      <c r="FO29" s="9"/>
      <c r="FP29" s="9"/>
      <c r="FQ29" s="9"/>
      <c r="FR29" s="9"/>
      <c r="FS29" s="9"/>
      <c r="FT29" s="9"/>
      <c r="FU29" s="9"/>
      <c r="FV29" s="9"/>
      <c r="FW29" s="9"/>
      <c r="FX29" s="9"/>
      <c r="FY29" s="9"/>
      <c r="FZ29" s="9"/>
      <c r="GA29" s="9"/>
      <c r="GB29" s="9"/>
      <c r="GC29" s="9"/>
      <c r="GD29" s="9"/>
      <c r="GE29" s="9"/>
      <c r="GF29" s="9"/>
      <c r="GG29" s="9"/>
      <c r="GH29" s="9"/>
      <c r="GI29" s="9"/>
      <c r="GJ29" s="9"/>
      <c r="GK29" s="9"/>
      <c r="GL29" s="9"/>
      <c r="GM29" s="9"/>
      <c r="GN29" s="9"/>
      <c r="GO29" s="9"/>
      <c r="GP29" s="9"/>
      <c r="GQ29" s="9"/>
      <c r="GR29" s="9"/>
      <c r="GS29" s="9"/>
      <c r="GT29" s="9"/>
      <c r="GU29" s="9"/>
      <c r="GV29" s="9"/>
      <c r="GW29" s="9"/>
      <c r="GX29" s="9"/>
      <c r="GY29" s="9"/>
      <c r="GZ29" s="9"/>
      <c r="HA29" s="9"/>
      <c r="HB29" s="9"/>
      <c r="HC29" s="9"/>
      <c r="HD29" s="9"/>
      <c r="HE29" s="9"/>
      <c r="HF29" s="9"/>
      <c r="HG29" s="9"/>
      <c r="HH29" s="9"/>
      <c r="HI29" s="9"/>
      <c r="HJ29" s="9"/>
      <c r="HK29" s="9"/>
      <c r="HL29" s="9"/>
      <c r="HM29" s="9"/>
      <c r="HN29" s="9"/>
      <c r="HO29" s="9"/>
      <c r="HP29" s="9"/>
      <c r="HQ29" s="9"/>
      <c r="HR29" s="9"/>
      <c r="HS29" s="9"/>
      <c r="HT29" s="9"/>
      <c r="HU29" s="9"/>
      <c r="HV29" s="9"/>
      <c r="HW29" s="9"/>
      <c r="HX29" s="9"/>
      <c r="HY29" s="9"/>
      <c r="HZ29" s="9"/>
      <c r="IA29" s="9"/>
      <c r="IB29" s="9"/>
      <c r="IC29" s="9"/>
      <c r="ID29" s="9"/>
      <c r="IE29" s="9"/>
      <c r="IF29" s="9"/>
      <c r="IG29" s="9"/>
      <c r="IH29" s="9"/>
      <c r="II29" s="9"/>
      <c r="IJ29" s="9"/>
      <c r="IK29" s="9"/>
      <c r="IL29" s="9"/>
      <c r="IM29" s="9"/>
      <c r="IN29" s="9"/>
      <c r="IO29" s="9"/>
      <c r="IP29" s="9"/>
      <c r="IQ29" s="9"/>
      <c r="IR29" s="9"/>
      <c r="IS29" s="9"/>
      <c r="IT29" s="9"/>
      <c r="IU29" s="9"/>
      <c r="IV29" s="9"/>
      <c r="IW29" s="9"/>
      <c r="IX29" s="9"/>
      <c r="IY29" s="9"/>
      <c r="IZ29" s="9"/>
      <c r="JA29" s="9"/>
      <c r="JB29" s="9"/>
      <c r="JG29" s="88"/>
    </row>
    <row r="30" spans="1:267" s="4" customFormat="1" ht="13.8" collapsed="1" x14ac:dyDescent="0.25">
      <c r="A30" s="3" t="str">
        <f>IF(ISERROR(VALUE(SUBSTITUTE(prevWBS,".",""))),"1",IF(ISERROR(FIND("`",SUBSTITUTE(prevWBS,".","`",1))),TEXT(VALUE(prevWBS)+1,"#"),TEXT(VALUE(LEFT(prevWBS,FIND("`",SUBSTITUTE(prevWBS,".","`",1))-1))+1,"#")))</f>
        <v>5</v>
      </c>
      <c r="B30" s="94" cm="1">
        <f t="array" ref="B30">FindColor(A30)</f>
        <v>15</v>
      </c>
      <c r="C30" s="67" t="s">
        <v>41</v>
      </c>
      <c r="E30" s="5"/>
      <c r="F30" s="40"/>
      <c r="G30" s="40" t="str">
        <f t="shared" ref="G30" si="218">IF(ISBLANK(F30)," - ",IF(H30=0,F30,F30+H30-1))</f>
        <v xml:space="preserve"> - </v>
      </c>
      <c r="H30" s="6"/>
      <c r="I30" s="7"/>
      <c r="J30" s="8" t="str">
        <f t="shared" ref="J30" si="219">IF(OR(G30=0,F30=0)," - ",NETWORKDAYS(F30,G30))</f>
        <v xml:space="preserve"> - </v>
      </c>
      <c r="K30" s="45"/>
      <c r="L30" s="45"/>
      <c r="M30" s="45"/>
      <c r="N30" s="45"/>
      <c r="O30" s="45"/>
      <c r="P30" s="45"/>
      <c r="Q30" s="45"/>
      <c r="R30" s="65"/>
      <c r="S30" s="65"/>
      <c r="T30" s="65"/>
      <c r="U30" s="45"/>
      <c r="V30" s="45"/>
      <c r="W30" s="45"/>
      <c r="X30" s="45"/>
      <c r="Y30" s="45"/>
      <c r="Z30" s="45"/>
      <c r="AA30" s="45"/>
      <c r="AB30" s="45"/>
      <c r="AC30" s="45"/>
      <c r="AD30" s="45"/>
      <c r="AE30" s="45"/>
      <c r="AF30" s="45"/>
      <c r="AG30" s="45"/>
      <c r="AH30" s="45"/>
      <c r="AI30" s="45"/>
      <c r="AJ30" s="45"/>
      <c r="AK30" s="45"/>
      <c r="AL30" s="45"/>
      <c r="AM30" s="45"/>
      <c r="AN30" s="45"/>
      <c r="AO30" s="45"/>
      <c r="AP30" s="65"/>
      <c r="AQ30" s="45"/>
      <c r="AR30" s="45"/>
      <c r="AS30" s="45"/>
      <c r="AT30" s="45"/>
      <c r="AU30" s="45"/>
      <c r="AV30" s="45"/>
      <c r="AW30" s="45"/>
      <c r="AX30" s="45"/>
      <c r="AY30" s="45"/>
      <c r="AZ30" s="45"/>
      <c r="BA30" s="45"/>
      <c r="BB30" s="45"/>
      <c r="BC30" s="45"/>
      <c r="BD30" s="45"/>
      <c r="BE30" s="45"/>
      <c r="BF30" s="45"/>
      <c r="BG30" s="45"/>
      <c r="BH30" s="45"/>
      <c r="BI30" s="45"/>
      <c r="BJ30" s="45"/>
      <c r="BK30" s="45"/>
      <c r="BL30" s="45"/>
      <c r="BM30" s="45"/>
      <c r="BN30" s="45"/>
      <c r="BO30" s="45"/>
      <c r="BP30" s="45"/>
      <c r="BQ30" s="45"/>
      <c r="BR30" s="45"/>
      <c r="BS30" s="45"/>
      <c r="BT30" s="45"/>
      <c r="BU30" s="45"/>
      <c r="BV30" s="45"/>
      <c r="BW30" s="45"/>
      <c r="BX30" s="45"/>
      <c r="BY30" s="45"/>
      <c r="BZ30" s="45"/>
      <c r="CA30" s="45"/>
      <c r="CB30" s="45"/>
      <c r="CC30" s="45"/>
      <c r="CD30" s="45"/>
      <c r="CE30" s="45"/>
      <c r="CF30" s="45"/>
      <c r="CG30" s="45"/>
      <c r="CH30" s="45"/>
      <c r="CI30" s="45"/>
      <c r="CJ30" s="45"/>
      <c r="CK30" s="45"/>
      <c r="CL30" s="45"/>
      <c r="CM30" s="45"/>
      <c r="CN30" s="45"/>
      <c r="CO30" s="45"/>
      <c r="CP30" s="45"/>
      <c r="CQ30" s="45"/>
      <c r="CR30" s="45"/>
      <c r="CS30" s="45"/>
      <c r="CT30" s="45"/>
      <c r="CU30" s="45"/>
      <c r="CV30" s="45"/>
      <c r="CW30" s="45"/>
      <c r="CX30" s="45"/>
      <c r="CY30" s="45"/>
      <c r="CZ30" s="45"/>
      <c r="DA30" s="45"/>
      <c r="DB30" s="45"/>
      <c r="DC30" s="45"/>
      <c r="DD30" s="45"/>
      <c r="DE30" s="45"/>
      <c r="DF30" s="45"/>
      <c r="DG30" s="45"/>
      <c r="DH30" s="45"/>
      <c r="DI30" s="45"/>
      <c r="DJ30" s="45"/>
      <c r="DK30" s="45"/>
      <c r="DL30" s="45"/>
      <c r="DM30" s="45"/>
      <c r="DN30" s="45"/>
      <c r="DO30" s="45"/>
      <c r="DP30" s="45"/>
      <c r="DQ30" s="45"/>
      <c r="DR30" s="45"/>
      <c r="DS30" s="45"/>
      <c r="DT30" s="45"/>
      <c r="DU30" s="45"/>
      <c r="DV30" s="45"/>
      <c r="DW30" s="45"/>
      <c r="DX30" s="45"/>
      <c r="DY30" s="45"/>
      <c r="DZ30" s="45"/>
      <c r="EA30" s="45"/>
      <c r="EB30" s="45"/>
      <c r="EC30" s="45"/>
      <c r="ED30" s="45"/>
      <c r="EE30" s="45"/>
      <c r="EF30" s="45"/>
      <c r="EG30" s="45"/>
      <c r="EH30" s="45"/>
      <c r="EI30" s="45"/>
      <c r="EJ30" s="45"/>
      <c r="EK30" s="45"/>
      <c r="EL30" s="45"/>
      <c r="EM30" s="45"/>
      <c r="EN30" s="45"/>
      <c r="EO30" s="45"/>
      <c r="EP30" s="45"/>
      <c r="EQ30" s="45"/>
      <c r="ER30" s="45"/>
      <c r="ES30" s="45"/>
      <c r="ET30" s="45"/>
      <c r="EU30" s="45"/>
      <c r="EV30" s="45"/>
      <c r="EW30" s="45"/>
      <c r="EX30" s="45"/>
      <c r="EY30" s="45"/>
      <c r="EZ30" s="45"/>
      <c r="FA30" s="45"/>
      <c r="FB30" s="45"/>
      <c r="FC30" s="45"/>
      <c r="FD30" s="45"/>
      <c r="FE30" s="45"/>
      <c r="FF30" s="45"/>
      <c r="FG30" s="45"/>
      <c r="FH30" s="45"/>
      <c r="FI30" s="45"/>
      <c r="FJ30" s="45"/>
      <c r="FK30" s="45"/>
      <c r="FL30" s="45"/>
      <c r="FM30" s="45"/>
      <c r="FN30" s="45"/>
      <c r="FO30" s="45"/>
      <c r="FP30" s="45"/>
      <c r="FQ30" s="45"/>
      <c r="FR30" s="45"/>
      <c r="FS30" s="45"/>
      <c r="FT30" s="45"/>
      <c r="FU30" s="45"/>
      <c r="FV30" s="45"/>
      <c r="FW30" s="45"/>
      <c r="FX30" s="45"/>
      <c r="FY30" s="45"/>
      <c r="FZ30" s="45"/>
      <c r="GA30" s="45"/>
      <c r="GB30" s="45"/>
      <c r="GC30" s="45"/>
      <c r="GD30" s="45"/>
      <c r="GE30" s="45"/>
      <c r="GF30" s="45"/>
      <c r="GG30" s="45"/>
      <c r="GH30" s="45"/>
      <c r="GI30" s="45"/>
      <c r="GJ30" s="45"/>
      <c r="GK30" s="45"/>
      <c r="GL30" s="45"/>
      <c r="GM30" s="45"/>
      <c r="GN30" s="45"/>
      <c r="GO30" s="45"/>
      <c r="GP30" s="45"/>
      <c r="GQ30" s="45"/>
      <c r="GR30" s="45"/>
      <c r="GS30" s="45"/>
      <c r="GT30" s="45"/>
      <c r="GU30" s="45"/>
      <c r="GV30" s="45"/>
      <c r="GW30" s="45"/>
      <c r="GX30" s="45"/>
      <c r="GY30" s="45"/>
      <c r="GZ30" s="45"/>
      <c r="HA30" s="45"/>
      <c r="HB30" s="45"/>
      <c r="HC30" s="45"/>
      <c r="HD30" s="45"/>
      <c r="HE30" s="45"/>
      <c r="HF30" s="45"/>
      <c r="HG30" s="45"/>
      <c r="HH30" s="45"/>
      <c r="HI30" s="45"/>
      <c r="HJ30" s="45"/>
      <c r="HK30" s="45"/>
      <c r="HL30" s="45"/>
      <c r="HM30" s="45"/>
      <c r="HN30" s="45"/>
      <c r="HO30" s="45"/>
      <c r="HP30" s="45"/>
      <c r="HQ30" s="45"/>
      <c r="HR30" s="45"/>
      <c r="HS30" s="45"/>
      <c r="HT30" s="45"/>
      <c r="HU30" s="45"/>
      <c r="HV30" s="45"/>
      <c r="HW30" s="45"/>
      <c r="HX30" s="45"/>
      <c r="HY30" s="45"/>
      <c r="HZ30" s="45"/>
      <c r="IA30" s="45"/>
      <c r="IB30" s="45"/>
      <c r="IC30" s="45"/>
      <c r="ID30" s="45"/>
      <c r="IE30" s="45"/>
      <c r="IF30" s="45"/>
      <c r="IG30" s="45"/>
      <c r="IH30" s="45"/>
      <c r="II30" s="45"/>
      <c r="IJ30" s="45"/>
      <c r="IK30" s="45"/>
      <c r="IL30" s="45"/>
      <c r="IM30" s="45"/>
      <c r="IN30" s="45"/>
      <c r="IO30" s="45"/>
      <c r="IP30" s="45"/>
      <c r="IQ30" s="45"/>
      <c r="IR30" s="45"/>
      <c r="IS30" s="45"/>
      <c r="IT30" s="45"/>
      <c r="IU30" s="45"/>
      <c r="IV30" s="45"/>
      <c r="IW30" s="45"/>
      <c r="IX30" s="45"/>
      <c r="IY30" s="45"/>
      <c r="IZ30" s="45"/>
      <c r="JA30" s="45"/>
      <c r="JB30" s="45"/>
      <c r="JG30" s="87"/>
    </row>
    <row r="31" spans="1:267" s="19" customFormat="1" ht="13.8" hidden="1" outlineLevel="1" x14ac:dyDescent="0.25">
      <c r="A31" s="9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5.1</v>
      </c>
      <c r="B31" s="94" cm="1">
        <f t="array" ref="B31">FindColor(A31)</f>
        <v>35</v>
      </c>
      <c r="C31" s="56" t="s">
        <v>42</v>
      </c>
      <c r="D31" s="14"/>
      <c r="E31" s="15"/>
      <c r="F31" s="41"/>
      <c r="G31" s="41"/>
      <c r="H31" s="16"/>
      <c r="I31" s="17"/>
      <c r="J31" s="18"/>
      <c r="K31" s="9"/>
      <c r="L31" s="9"/>
      <c r="M31" s="9"/>
      <c r="N31" s="9"/>
      <c r="O31" s="9"/>
      <c r="P31" s="9"/>
      <c r="Q31" s="9"/>
      <c r="R31" s="65"/>
      <c r="S31" s="65"/>
      <c r="T31" s="65"/>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9"/>
      <c r="CF31" s="9"/>
      <c r="CG31" s="9"/>
      <c r="CH31" s="9"/>
      <c r="CI31" s="9"/>
      <c r="CJ31" s="9"/>
      <c r="CK31" s="9"/>
      <c r="CL31" s="9"/>
      <c r="CM31" s="9"/>
      <c r="CN31" s="9"/>
      <c r="CO31" s="9"/>
      <c r="CP31" s="9"/>
      <c r="CQ31" s="9"/>
      <c r="CR31" s="9"/>
      <c r="CS31" s="9"/>
      <c r="CT31" s="9"/>
      <c r="CU31" s="9"/>
      <c r="CV31" s="9"/>
      <c r="CW31" s="9"/>
      <c r="CX31" s="9"/>
      <c r="CY31" s="9"/>
      <c r="CZ31" s="9"/>
      <c r="DA31" s="9"/>
      <c r="DB31" s="9"/>
      <c r="DC31" s="9"/>
      <c r="DD31" s="9"/>
      <c r="DE31" s="9"/>
      <c r="DF31" s="9"/>
      <c r="DG31" s="9"/>
      <c r="DH31" s="9"/>
      <c r="DI31" s="9"/>
      <c r="DJ31" s="9"/>
      <c r="DK31" s="9"/>
      <c r="DL31" s="9"/>
      <c r="DM31" s="9"/>
      <c r="DN31" s="9"/>
      <c r="DO31" s="9"/>
      <c r="DP31" s="9"/>
      <c r="DQ31" s="9"/>
      <c r="DR31" s="9"/>
      <c r="DS31" s="9"/>
      <c r="DT31" s="9"/>
      <c r="DU31" s="9"/>
      <c r="DV31" s="9"/>
      <c r="DW31" s="9"/>
      <c r="DX31" s="9"/>
      <c r="DY31" s="9"/>
      <c r="DZ31" s="9"/>
      <c r="EA31" s="9"/>
      <c r="EB31" s="9"/>
      <c r="EC31" s="9"/>
      <c r="ED31" s="9"/>
      <c r="EE31" s="9"/>
      <c r="EF31" s="9"/>
      <c r="EG31" s="9"/>
      <c r="EH31" s="9"/>
      <c r="EI31" s="9"/>
      <c r="EJ31" s="9"/>
      <c r="EK31" s="9"/>
      <c r="EL31" s="9"/>
      <c r="EM31" s="9"/>
      <c r="EN31" s="9"/>
      <c r="EO31" s="9"/>
      <c r="EP31" s="9"/>
      <c r="EQ31" s="9"/>
      <c r="ER31" s="9"/>
      <c r="ES31" s="9"/>
      <c r="ET31" s="9"/>
      <c r="EU31" s="9"/>
      <c r="EV31" s="9"/>
      <c r="EW31" s="9"/>
      <c r="EX31" s="9"/>
      <c r="EY31" s="9"/>
      <c r="EZ31" s="9"/>
      <c r="FA31" s="9"/>
      <c r="FB31" s="9"/>
      <c r="FC31" s="9"/>
      <c r="FD31" s="9"/>
      <c r="FE31" s="9"/>
      <c r="FF31" s="9"/>
      <c r="FG31" s="9"/>
      <c r="FH31" s="9"/>
      <c r="FI31" s="9"/>
      <c r="FJ31" s="9"/>
      <c r="FK31" s="9"/>
      <c r="FL31" s="9"/>
      <c r="FM31" s="9"/>
      <c r="FN31" s="9"/>
      <c r="FO31" s="9"/>
      <c r="FP31" s="9"/>
      <c r="FQ31" s="9"/>
      <c r="FR31" s="9"/>
      <c r="FS31" s="9"/>
      <c r="FT31" s="9"/>
      <c r="FU31" s="9"/>
      <c r="FV31" s="9"/>
      <c r="FW31" s="9"/>
      <c r="FX31" s="9"/>
      <c r="FY31" s="9"/>
      <c r="FZ31" s="9"/>
      <c r="GA31" s="9"/>
      <c r="GB31" s="9"/>
      <c r="GC31" s="9"/>
      <c r="GD31" s="9"/>
      <c r="GE31" s="9"/>
      <c r="GF31" s="9"/>
      <c r="GG31" s="9"/>
      <c r="GH31" s="9"/>
      <c r="GI31" s="9"/>
      <c r="GJ31" s="9"/>
      <c r="GK31" s="9"/>
      <c r="GL31" s="9"/>
      <c r="GM31" s="9"/>
      <c r="GN31" s="9"/>
      <c r="GO31" s="9"/>
      <c r="GP31" s="9"/>
      <c r="GQ31" s="9"/>
      <c r="GR31" s="9"/>
      <c r="GS31" s="9"/>
      <c r="GT31" s="9"/>
      <c r="GU31" s="9"/>
      <c r="GV31" s="9"/>
      <c r="GW31" s="9"/>
      <c r="GX31" s="9"/>
      <c r="GY31" s="9"/>
      <c r="GZ31" s="9"/>
      <c r="HA31" s="9"/>
      <c r="HB31" s="9"/>
      <c r="HC31" s="9"/>
      <c r="HD31" s="9"/>
      <c r="HE31" s="9"/>
      <c r="HF31" s="9"/>
      <c r="HG31" s="9"/>
      <c r="HH31" s="9"/>
      <c r="HI31" s="9"/>
      <c r="HJ31" s="9"/>
      <c r="HK31" s="9"/>
      <c r="HL31" s="9"/>
      <c r="HM31" s="9"/>
      <c r="HN31" s="9"/>
      <c r="HO31" s="9"/>
      <c r="HP31" s="9"/>
      <c r="HQ31" s="9"/>
      <c r="HR31" s="9"/>
      <c r="HS31" s="9"/>
      <c r="HT31" s="9"/>
      <c r="HU31" s="9"/>
      <c r="HV31" s="9"/>
      <c r="HW31" s="9"/>
      <c r="HX31" s="9"/>
      <c r="HY31" s="9"/>
      <c r="HZ31" s="9"/>
      <c r="IA31" s="9"/>
      <c r="IB31" s="9"/>
      <c r="IC31" s="9"/>
      <c r="ID31" s="9"/>
      <c r="IE31" s="9"/>
      <c r="IF31" s="9"/>
      <c r="IG31" s="9"/>
      <c r="IH31" s="9"/>
      <c r="II31" s="9"/>
      <c r="IJ31" s="9"/>
      <c r="IK31" s="9"/>
      <c r="IL31" s="9"/>
      <c r="IM31" s="9"/>
      <c r="IN31" s="9"/>
      <c r="IO31" s="9"/>
      <c r="IP31" s="9"/>
      <c r="IQ31" s="9"/>
      <c r="IR31" s="9"/>
      <c r="IS31" s="9"/>
      <c r="IT31" s="9"/>
      <c r="IU31" s="9"/>
      <c r="IV31" s="9"/>
      <c r="IW31" s="9"/>
      <c r="IX31" s="9"/>
      <c r="IY31" s="9"/>
      <c r="IZ31" s="9"/>
      <c r="JA31" s="9"/>
      <c r="JB31" s="9"/>
      <c r="JG31" s="89"/>
    </row>
    <row r="32" spans="1:267" s="10" customFormat="1" ht="26.4" hidden="1" outlineLevel="1" x14ac:dyDescent="0.25">
      <c r="A32" s="9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5.1.1</v>
      </c>
      <c r="B32" s="94" cm="1">
        <f t="array" ref="B32">FindColor(A32)</f>
        <v>24</v>
      </c>
      <c r="C32" s="108" t="s">
        <v>33</v>
      </c>
      <c r="E32" s="57"/>
      <c r="F32" s="38">
        <v>43129</v>
      </c>
      <c r="G32" s="39">
        <f t="shared" ref="G32" si="220">IF(ISBLANK(F32)," - ",IF(H32=0,F32,F32+H32-1))</f>
        <v>43129</v>
      </c>
      <c r="H32" s="11">
        <v>1</v>
      </c>
      <c r="I32" s="12">
        <v>0</v>
      </c>
      <c r="J32" s="13">
        <f t="shared" ref="J32" si="221">IF(OR(G32=0,F32=0)," - ",NETWORKDAYS(F32,G32))</f>
        <v>1</v>
      </c>
      <c r="K32" s="9"/>
      <c r="L32" s="9"/>
      <c r="M32" s="9"/>
      <c r="N32" s="9"/>
      <c r="O32" s="9"/>
      <c r="P32" s="9"/>
      <c r="Q32" s="9"/>
      <c r="R32" s="65"/>
      <c r="S32" s="65"/>
      <c r="T32" s="65"/>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c r="BS32" s="9"/>
      <c r="BT32" s="9"/>
      <c r="BU32" s="9"/>
      <c r="BV32" s="9"/>
      <c r="BW32" s="9"/>
      <c r="BX32" s="9"/>
      <c r="BY32" s="9"/>
      <c r="BZ32" s="9"/>
      <c r="CA32" s="9"/>
      <c r="CB32" s="9"/>
      <c r="CC32" s="9"/>
      <c r="CD32" s="9"/>
      <c r="CE32" s="9"/>
      <c r="CF32" s="9"/>
      <c r="CG32" s="9"/>
      <c r="CH32" s="9"/>
      <c r="CI32" s="9"/>
      <c r="CJ32" s="9"/>
      <c r="CK32" s="9"/>
      <c r="CL32" s="9"/>
      <c r="CM32" s="9"/>
      <c r="CN32" s="9"/>
      <c r="CO32" s="9"/>
      <c r="CP32" s="9"/>
      <c r="CQ32" s="9"/>
      <c r="CR32" s="9"/>
      <c r="CS32" s="9"/>
      <c r="CT32" s="9"/>
      <c r="CU32" s="9"/>
      <c r="CV32" s="9"/>
      <c r="CW32" s="9"/>
      <c r="CX32" s="9"/>
      <c r="CY32" s="9"/>
      <c r="CZ32" s="9"/>
      <c r="DA32" s="9"/>
      <c r="DB32" s="9"/>
      <c r="DC32" s="9"/>
      <c r="DD32" s="9"/>
      <c r="DE32" s="9"/>
      <c r="DF32" s="9"/>
      <c r="DG32" s="9"/>
      <c r="DH32" s="9"/>
      <c r="DI32" s="9"/>
      <c r="DJ32" s="9"/>
      <c r="DK32" s="9"/>
      <c r="DL32" s="9"/>
      <c r="DM32" s="9"/>
      <c r="DN32" s="9"/>
      <c r="DO32" s="9"/>
      <c r="DP32" s="9"/>
      <c r="DQ32" s="9"/>
      <c r="DR32" s="9"/>
      <c r="DS32" s="9"/>
      <c r="DT32" s="9"/>
      <c r="DU32" s="9"/>
      <c r="DV32" s="9"/>
      <c r="DW32" s="9"/>
      <c r="DX32" s="9"/>
      <c r="DY32" s="9"/>
      <c r="DZ32" s="9"/>
      <c r="EA32" s="9"/>
      <c r="EB32" s="9"/>
      <c r="EC32" s="9"/>
      <c r="ED32" s="9"/>
      <c r="EE32" s="9"/>
      <c r="EF32" s="9"/>
      <c r="EG32" s="9"/>
      <c r="EH32" s="9"/>
      <c r="EI32" s="9"/>
      <c r="EJ32" s="9"/>
      <c r="EK32" s="9"/>
      <c r="EL32" s="9"/>
      <c r="EM32" s="9"/>
      <c r="EN32" s="9"/>
      <c r="EO32" s="9"/>
      <c r="EP32" s="9"/>
      <c r="EQ32" s="9"/>
      <c r="ER32" s="9"/>
      <c r="ES32" s="9"/>
      <c r="ET32" s="9"/>
      <c r="EU32" s="9"/>
      <c r="EV32" s="9"/>
      <c r="EW32" s="9"/>
      <c r="EX32" s="9"/>
      <c r="EY32" s="9"/>
      <c r="EZ32" s="9"/>
      <c r="FA32" s="9"/>
      <c r="FB32" s="9"/>
      <c r="FC32" s="9"/>
      <c r="FD32" s="9"/>
      <c r="FE32" s="9"/>
      <c r="FF32" s="9"/>
      <c r="FG32" s="9"/>
      <c r="FH32" s="9"/>
      <c r="FI32" s="9"/>
      <c r="FJ32" s="9"/>
      <c r="FK32" s="9"/>
      <c r="FL32" s="9"/>
      <c r="FM32" s="9"/>
      <c r="FN32" s="9"/>
      <c r="FO32" s="9"/>
      <c r="FP32" s="9"/>
      <c r="FQ32" s="9"/>
      <c r="FR32" s="9"/>
      <c r="FS32" s="9"/>
      <c r="FT32" s="9"/>
      <c r="FU32" s="9"/>
      <c r="FV32" s="9"/>
      <c r="FW32" s="9"/>
      <c r="FX32" s="9"/>
      <c r="FY32" s="9"/>
      <c r="FZ32" s="9"/>
      <c r="GA32" s="9"/>
      <c r="GB32" s="9"/>
      <c r="GC32" s="9"/>
      <c r="GD32" s="9"/>
      <c r="GE32" s="9"/>
      <c r="GF32" s="9"/>
      <c r="GG32" s="9"/>
      <c r="GH32" s="9"/>
      <c r="GI32" s="9"/>
      <c r="GJ32" s="9"/>
      <c r="GK32" s="9"/>
      <c r="GL32" s="9"/>
      <c r="GM32" s="9"/>
      <c r="GN32" s="9"/>
      <c r="GO32" s="9"/>
      <c r="GP32" s="9"/>
      <c r="GQ32" s="9"/>
      <c r="GR32" s="9"/>
      <c r="GS32" s="9"/>
      <c r="GT32" s="9"/>
      <c r="GU32" s="9"/>
      <c r="GV32" s="9"/>
      <c r="GW32" s="9"/>
      <c r="GX32" s="9"/>
      <c r="GY32" s="9"/>
      <c r="GZ32" s="9"/>
      <c r="HA32" s="9"/>
      <c r="HB32" s="9"/>
      <c r="HC32" s="9"/>
      <c r="HD32" s="9"/>
      <c r="HE32" s="9"/>
      <c r="HF32" s="9"/>
      <c r="HG32" s="9"/>
      <c r="HH32" s="9"/>
      <c r="HI32" s="9"/>
      <c r="HJ32" s="9"/>
      <c r="HK32" s="9"/>
      <c r="HL32" s="9"/>
      <c r="HM32" s="9"/>
      <c r="HN32" s="9"/>
      <c r="HO32" s="9"/>
      <c r="HP32" s="9"/>
      <c r="HQ32" s="9"/>
      <c r="HR32" s="9"/>
      <c r="HS32" s="9"/>
      <c r="HT32" s="9"/>
      <c r="HU32" s="9"/>
      <c r="HV32" s="9"/>
      <c r="HW32" s="9"/>
      <c r="HX32" s="9"/>
      <c r="HY32" s="9"/>
      <c r="HZ32" s="9"/>
      <c r="IA32" s="9"/>
      <c r="IB32" s="9"/>
      <c r="IC32" s="9"/>
      <c r="ID32" s="9"/>
      <c r="IE32" s="9"/>
      <c r="IF32" s="9"/>
      <c r="IG32" s="9"/>
      <c r="IH32" s="9"/>
      <c r="II32" s="9"/>
      <c r="IJ32" s="9"/>
      <c r="IK32" s="9"/>
      <c r="IL32" s="9"/>
      <c r="IM32" s="9"/>
      <c r="IN32" s="9"/>
      <c r="IO32" s="9"/>
      <c r="IP32" s="9"/>
      <c r="IQ32" s="9"/>
      <c r="IR32" s="9"/>
      <c r="IS32" s="9"/>
      <c r="IT32" s="9"/>
      <c r="IU32" s="9"/>
      <c r="IV32" s="9"/>
      <c r="IW32" s="9"/>
      <c r="IX32" s="9"/>
      <c r="IY32" s="9"/>
      <c r="IZ32" s="9"/>
      <c r="JA32" s="9"/>
      <c r="JB32" s="9"/>
      <c r="JG32" s="88"/>
    </row>
    <row r="33" spans="1:267" s="10" customFormat="1" ht="13.8" hidden="1" outlineLevel="1" x14ac:dyDescent="0.25">
      <c r="A33" s="9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5.2</v>
      </c>
      <c r="B33" s="94" cm="1">
        <f t="array" ref="B33">FindColor(A33)</f>
        <v>35</v>
      </c>
      <c r="C33" s="56" t="s">
        <v>43</v>
      </c>
      <c r="E33" s="57"/>
      <c r="F33" s="38">
        <v>43129</v>
      </c>
      <c r="G33" s="39">
        <f t="shared" ref="G33:G44" si="222">IF(ISBLANK(F33)," - ",IF(H33=0,F33,F33+H33-1))</f>
        <v>43129</v>
      </c>
      <c r="H33" s="11">
        <v>1</v>
      </c>
      <c r="I33" s="12">
        <v>0</v>
      </c>
      <c r="J33" s="13">
        <f t="shared" ref="J33:J44" si="223">IF(OR(G33=0,F33=0)," - ",NETWORKDAYS(F33,G33))</f>
        <v>1</v>
      </c>
      <c r="K33" s="9"/>
      <c r="L33" s="9"/>
      <c r="M33" s="9"/>
      <c r="N33" s="9"/>
      <c r="O33" s="9"/>
      <c r="P33" s="9"/>
      <c r="Q33" s="9"/>
      <c r="R33" s="9"/>
      <c r="S33" s="65"/>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c r="BS33" s="9"/>
      <c r="BT33" s="9"/>
      <c r="BU33" s="9"/>
      <c r="BV33" s="9"/>
      <c r="BW33" s="9"/>
      <c r="BX33" s="9"/>
      <c r="BY33" s="9"/>
      <c r="BZ33" s="9"/>
      <c r="CA33" s="9"/>
      <c r="CB33" s="9"/>
      <c r="CC33" s="9"/>
      <c r="CD33" s="9"/>
      <c r="CE33" s="9"/>
      <c r="CF33" s="9"/>
      <c r="CG33" s="9"/>
      <c r="CH33" s="9"/>
      <c r="CI33" s="9"/>
      <c r="CJ33" s="9"/>
      <c r="CK33" s="9"/>
      <c r="CL33" s="9"/>
      <c r="CM33" s="9"/>
      <c r="CN33" s="9"/>
      <c r="CO33" s="9"/>
      <c r="CP33" s="9"/>
      <c r="CQ33" s="9"/>
      <c r="CR33" s="9"/>
      <c r="CS33" s="9"/>
      <c r="CT33" s="9"/>
      <c r="CU33" s="9"/>
      <c r="CV33" s="9"/>
      <c r="CW33" s="9"/>
      <c r="CX33" s="9"/>
      <c r="CY33" s="9"/>
      <c r="CZ33" s="9"/>
      <c r="DA33" s="9"/>
      <c r="DB33" s="9"/>
      <c r="DC33" s="9"/>
      <c r="DD33" s="9"/>
      <c r="DE33" s="9"/>
      <c r="DF33" s="9"/>
      <c r="DG33" s="9"/>
      <c r="DH33" s="9"/>
      <c r="DI33" s="9"/>
      <c r="DJ33" s="9"/>
      <c r="DK33" s="9"/>
      <c r="DL33" s="9"/>
      <c r="DM33" s="9"/>
      <c r="DN33" s="9"/>
      <c r="DO33" s="9"/>
      <c r="DP33" s="9"/>
      <c r="DQ33" s="9"/>
      <c r="DR33" s="9"/>
      <c r="DS33" s="9"/>
      <c r="DT33" s="9"/>
      <c r="DU33" s="9"/>
      <c r="DV33" s="9"/>
      <c r="DW33" s="9"/>
      <c r="DX33" s="9"/>
      <c r="DY33" s="9"/>
      <c r="DZ33" s="9"/>
      <c r="EA33" s="9"/>
      <c r="EB33" s="9"/>
      <c r="EC33" s="9"/>
      <c r="ED33" s="9"/>
      <c r="EE33" s="9"/>
      <c r="EF33" s="9"/>
      <c r="EG33" s="9"/>
      <c r="EH33" s="9"/>
      <c r="EI33" s="9"/>
      <c r="EJ33" s="9"/>
      <c r="EK33" s="9"/>
      <c r="EL33" s="9"/>
      <c r="EM33" s="9"/>
      <c r="EN33" s="9"/>
      <c r="EO33" s="9"/>
      <c r="EP33" s="9"/>
      <c r="EQ33" s="9"/>
      <c r="ER33" s="9"/>
      <c r="ES33" s="9"/>
      <c r="ET33" s="9"/>
      <c r="EU33" s="9"/>
      <c r="EV33" s="9"/>
      <c r="EW33" s="9"/>
      <c r="EX33" s="9"/>
      <c r="EY33" s="9"/>
      <c r="EZ33" s="9"/>
      <c r="FA33" s="9"/>
      <c r="FB33" s="9"/>
      <c r="FC33" s="9"/>
      <c r="FD33" s="9"/>
      <c r="FE33" s="9"/>
      <c r="FF33" s="9"/>
      <c r="FG33" s="9"/>
      <c r="FH33" s="9"/>
      <c r="FI33" s="9"/>
      <c r="FJ33" s="9"/>
      <c r="FK33" s="9"/>
      <c r="FL33" s="9"/>
      <c r="FM33" s="9"/>
      <c r="FN33" s="9"/>
      <c r="FO33" s="9"/>
      <c r="FP33" s="9"/>
      <c r="FQ33" s="9"/>
      <c r="FR33" s="9"/>
      <c r="FS33" s="9"/>
      <c r="FT33" s="9"/>
      <c r="FU33" s="9"/>
      <c r="FV33" s="9"/>
      <c r="FW33" s="9"/>
      <c r="FX33" s="9"/>
      <c r="FY33" s="9"/>
      <c r="FZ33" s="9"/>
      <c r="GA33" s="9"/>
      <c r="GB33" s="9"/>
      <c r="GC33" s="9"/>
      <c r="GD33" s="9"/>
      <c r="GE33" s="9"/>
      <c r="GF33" s="9"/>
      <c r="GG33" s="9"/>
      <c r="GH33" s="9"/>
      <c r="GI33" s="9"/>
      <c r="GJ33" s="9"/>
      <c r="GK33" s="9"/>
      <c r="GL33" s="9"/>
      <c r="GM33" s="9"/>
      <c r="GN33" s="9"/>
      <c r="GO33" s="9"/>
      <c r="GP33" s="9"/>
      <c r="GQ33" s="9"/>
      <c r="GR33" s="9"/>
      <c r="GS33" s="9"/>
      <c r="GT33" s="9"/>
      <c r="GU33" s="9"/>
      <c r="GV33" s="9"/>
      <c r="GW33" s="9"/>
      <c r="GX33" s="9"/>
      <c r="GY33" s="9"/>
      <c r="GZ33" s="9"/>
      <c r="HA33" s="9"/>
      <c r="HB33" s="9"/>
      <c r="HC33" s="9"/>
      <c r="HD33" s="9"/>
      <c r="HE33" s="9"/>
      <c r="HF33" s="9"/>
      <c r="HG33" s="9"/>
      <c r="HH33" s="9"/>
      <c r="HI33" s="9"/>
      <c r="HJ33" s="9"/>
      <c r="HK33" s="9"/>
      <c r="HL33" s="9"/>
      <c r="HM33" s="9"/>
      <c r="HN33" s="9"/>
      <c r="HO33" s="9"/>
      <c r="HP33" s="9"/>
      <c r="HQ33" s="9"/>
      <c r="HR33" s="9"/>
      <c r="HS33" s="9"/>
      <c r="HT33" s="9"/>
      <c r="HU33" s="9"/>
      <c r="HV33" s="9"/>
      <c r="HW33" s="9"/>
      <c r="HX33" s="9"/>
      <c r="HY33" s="9"/>
      <c r="HZ33" s="9"/>
      <c r="IA33" s="9"/>
      <c r="IB33" s="9"/>
      <c r="IC33" s="9"/>
      <c r="ID33" s="9"/>
      <c r="IE33" s="9"/>
      <c r="IF33" s="9"/>
      <c r="IG33" s="9"/>
      <c r="IH33" s="9"/>
      <c r="II33" s="9"/>
      <c r="IJ33" s="9"/>
      <c r="IK33" s="9"/>
      <c r="IL33" s="9"/>
      <c r="IM33" s="9"/>
      <c r="IN33" s="9"/>
      <c r="IO33" s="9"/>
      <c r="IP33" s="9"/>
      <c r="IQ33" s="9"/>
      <c r="IR33" s="9"/>
      <c r="IS33" s="9"/>
      <c r="IT33" s="9"/>
      <c r="IU33" s="9"/>
      <c r="IV33" s="9"/>
      <c r="IW33" s="9"/>
      <c r="IX33" s="9"/>
      <c r="IY33" s="9"/>
      <c r="IZ33" s="9"/>
      <c r="JA33" s="9"/>
      <c r="JB33" s="9"/>
      <c r="JG33" s="88"/>
    </row>
    <row r="34" spans="1:267" s="10" customFormat="1" ht="26.4" hidden="1" outlineLevel="1" x14ac:dyDescent="0.25">
      <c r="A34" s="9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5.2.1</v>
      </c>
      <c r="B34" s="94" cm="1">
        <f t="array" ref="B34">FindColor(A34)</f>
        <v>24</v>
      </c>
      <c r="C34" s="108" t="s">
        <v>39</v>
      </c>
      <c r="E34" s="57"/>
      <c r="F34" s="38">
        <v>43129</v>
      </c>
      <c r="G34" s="39">
        <f t="shared" si="222"/>
        <v>43129</v>
      </c>
      <c r="H34" s="11">
        <v>1</v>
      </c>
      <c r="I34" s="12">
        <v>0</v>
      </c>
      <c r="J34" s="13">
        <f t="shared" si="223"/>
        <v>1</v>
      </c>
      <c r="K34" s="9"/>
      <c r="L34" s="9"/>
      <c r="M34" s="9"/>
      <c r="N34" s="9"/>
      <c r="O34" s="9"/>
      <c r="P34" s="9"/>
      <c r="Q34" s="9"/>
      <c r="R34" s="9"/>
      <c r="S34" s="65"/>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c r="FN34" s="9"/>
      <c r="FO34" s="9"/>
      <c r="FP34" s="9"/>
      <c r="FQ34" s="9"/>
      <c r="FR34" s="9"/>
      <c r="FS34" s="9"/>
      <c r="FT34" s="9"/>
      <c r="FU34" s="9"/>
      <c r="FV34" s="9"/>
      <c r="FW34" s="9"/>
      <c r="FX34" s="9"/>
      <c r="FY34" s="9"/>
      <c r="FZ34" s="9"/>
      <c r="GA34" s="9"/>
      <c r="GB34" s="9"/>
      <c r="GC34" s="9"/>
      <c r="GD34" s="9"/>
      <c r="GE34" s="9"/>
      <c r="GF34" s="9"/>
      <c r="GG34" s="9"/>
      <c r="GH34" s="9"/>
      <c r="GI34" s="9"/>
      <c r="GJ34" s="9"/>
      <c r="GK34" s="9"/>
      <c r="GL34" s="9"/>
      <c r="GM34" s="9"/>
      <c r="GN34" s="9"/>
      <c r="GO34" s="9"/>
      <c r="GP34" s="9"/>
      <c r="GQ34" s="9"/>
      <c r="GR34" s="9"/>
      <c r="GS34" s="9"/>
      <c r="GT34" s="9"/>
      <c r="GU34" s="9"/>
      <c r="GV34" s="9"/>
      <c r="GW34" s="9"/>
      <c r="GX34" s="9"/>
      <c r="GY34" s="9"/>
      <c r="GZ34" s="9"/>
      <c r="HA34" s="9"/>
      <c r="HB34" s="9"/>
      <c r="HC34" s="9"/>
      <c r="HD34" s="9"/>
      <c r="HE34" s="9"/>
      <c r="HF34" s="9"/>
      <c r="HG34" s="9"/>
      <c r="HH34" s="9"/>
      <c r="HI34" s="9"/>
      <c r="HJ34" s="9"/>
      <c r="HK34" s="9"/>
      <c r="HL34" s="9"/>
      <c r="HM34" s="9"/>
      <c r="HN34" s="9"/>
      <c r="HO34" s="9"/>
      <c r="HP34" s="9"/>
      <c r="HQ34" s="9"/>
      <c r="HR34" s="9"/>
      <c r="HS34" s="9"/>
      <c r="HT34" s="9"/>
      <c r="HU34" s="9"/>
      <c r="HV34" s="9"/>
      <c r="HW34" s="9"/>
      <c r="HX34" s="9"/>
      <c r="HY34" s="9"/>
      <c r="HZ34" s="9"/>
      <c r="IA34" s="9"/>
      <c r="IB34" s="9"/>
      <c r="IC34" s="9"/>
      <c r="ID34" s="9"/>
      <c r="IE34" s="9"/>
      <c r="IF34" s="9"/>
      <c r="IG34" s="9"/>
      <c r="IH34" s="9"/>
      <c r="II34" s="9"/>
      <c r="IJ34" s="9"/>
      <c r="IK34" s="9"/>
      <c r="IL34" s="9"/>
      <c r="IM34" s="9"/>
      <c r="IN34" s="9"/>
      <c r="IO34" s="9"/>
      <c r="IP34" s="9"/>
      <c r="IQ34" s="9"/>
      <c r="IR34" s="9"/>
      <c r="IS34" s="9"/>
      <c r="IT34" s="9"/>
      <c r="IU34" s="9"/>
      <c r="IV34" s="9"/>
      <c r="IW34" s="9"/>
      <c r="IX34" s="9"/>
      <c r="IY34" s="9"/>
      <c r="IZ34" s="9"/>
      <c r="JA34" s="9"/>
      <c r="JB34" s="9"/>
      <c r="JG34" s="88"/>
    </row>
    <row r="35" spans="1:267" s="10" customFormat="1" ht="13.8" hidden="1" outlineLevel="1" x14ac:dyDescent="0.25">
      <c r="A35" s="9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5.3</v>
      </c>
      <c r="B35" s="94" cm="1">
        <f t="array" ref="B35">FindColor(A35)</f>
        <v>35</v>
      </c>
      <c r="C35" s="56" t="s">
        <v>44</v>
      </c>
      <c r="E35" s="57"/>
      <c r="F35" s="38">
        <v>43129</v>
      </c>
      <c r="G35" s="39">
        <f t="shared" si="222"/>
        <v>43129</v>
      </c>
      <c r="H35" s="11">
        <v>1</v>
      </c>
      <c r="I35" s="12">
        <v>0</v>
      </c>
      <c r="J35" s="13">
        <f t="shared" si="223"/>
        <v>1</v>
      </c>
      <c r="K35" s="9"/>
      <c r="L35" s="9"/>
      <c r="M35" s="9"/>
      <c r="N35" s="9"/>
      <c r="O35" s="9"/>
      <c r="P35" s="9"/>
      <c r="Q35" s="9"/>
      <c r="R35" s="9"/>
      <c r="S35" s="65"/>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c r="FN35" s="9"/>
      <c r="FO35" s="9"/>
      <c r="FP35" s="9"/>
      <c r="FQ35" s="9"/>
      <c r="FR35" s="9"/>
      <c r="FS35" s="9"/>
      <c r="FT35" s="9"/>
      <c r="FU35" s="9"/>
      <c r="FV35" s="9"/>
      <c r="FW35" s="9"/>
      <c r="FX35" s="9"/>
      <c r="FY35" s="9"/>
      <c r="FZ35" s="9"/>
      <c r="GA35" s="9"/>
      <c r="GB35" s="9"/>
      <c r="GC35" s="9"/>
      <c r="GD35" s="9"/>
      <c r="GE35" s="9"/>
      <c r="GF35" s="9"/>
      <c r="GG35" s="9"/>
      <c r="GH35" s="9"/>
      <c r="GI35" s="9"/>
      <c r="GJ35" s="9"/>
      <c r="GK35" s="9"/>
      <c r="GL35" s="9"/>
      <c r="GM35" s="9"/>
      <c r="GN35" s="9"/>
      <c r="GO35" s="9"/>
      <c r="GP35" s="9"/>
      <c r="GQ35" s="9"/>
      <c r="GR35" s="9"/>
      <c r="GS35" s="9"/>
      <c r="GT35" s="9"/>
      <c r="GU35" s="9"/>
      <c r="GV35" s="9"/>
      <c r="GW35" s="9"/>
      <c r="GX35" s="9"/>
      <c r="GY35" s="9"/>
      <c r="GZ35" s="9"/>
      <c r="HA35" s="9"/>
      <c r="HB35" s="9"/>
      <c r="HC35" s="9"/>
      <c r="HD35" s="9"/>
      <c r="HE35" s="9"/>
      <c r="HF35" s="9"/>
      <c r="HG35" s="9"/>
      <c r="HH35" s="9"/>
      <c r="HI35" s="9"/>
      <c r="HJ35" s="9"/>
      <c r="HK35" s="9"/>
      <c r="HL35" s="9"/>
      <c r="HM35" s="9"/>
      <c r="HN35" s="9"/>
      <c r="HO35" s="9"/>
      <c r="HP35" s="9"/>
      <c r="HQ35" s="9"/>
      <c r="HR35" s="9"/>
      <c r="HS35" s="9"/>
      <c r="HT35" s="9"/>
      <c r="HU35" s="9"/>
      <c r="HV35" s="9"/>
      <c r="HW35" s="9"/>
      <c r="HX35" s="9"/>
      <c r="HY35" s="9"/>
      <c r="HZ35" s="9"/>
      <c r="IA35" s="9"/>
      <c r="IB35" s="9"/>
      <c r="IC35" s="9"/>
      <c r="ID35" s="9"/>
      <c r="IE35" s="9"/>
      <c r="IF35" s="9"/>
      <c r="IG35" s="9"/>
      <c r="IH35" s="9"/>
      <c r="II35" s="9"/>
      <c r="IJ35" s="9"/>
      <c r="IK35" s="9"/>
      <c r="IL35" s="9"/>
      <c r="IM35" s="9"/>
      <c r="IN35" s="9"/>
      <c r="IO35" s="9"/>
      <c r="IP35" s="9"/>
      <c r="IQ35" s="9"/>
      <c r="IR35" s="9"/>
      <c r="IS35" s="9"/>
      <c r="IT35" s="9"/>
      <c r="IU35" s="9"/>
      <c r="IV35" s="9"/>
      <c r="IW35" s="9"/>
      <c r="IX35" s="9"/>
      <c r="IY35" s="9"/>
      <c r="IZ35" s="9"/>
      <c r="JA35" s="9"/>
      <c r="JB35" s="9"/>
      <c r="JG35" s="88"/>
    </row>
    <row r="36" spans="1:267" s="10" customFormat="1" ht="26.4" hidden="1" outlineLevel="1" x14ac:dyDescent="0.25">
      <c r="A36" s="9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5.3.1</v>
      </c>
      <c r="B36" s="94" cm="1">
        <f t="array" ref="B36">FindColor(A36)</f>
        <v>24</v>
      </c>
      <c r="C36" s="108" t="s">
        <v>40</v>
      </c>
      <c r="E36" s="57"/>
      <c r="F36" s="38">
        <v>43129</v>
      </c>
      <c r="G36" s="39">
        <f t="shared" si="222"/>
        <v>43129</v>
      </c>
      <c r="H36" s="11">
        <v>1</v>
      </c>
      <c r="I36" s="12">
        <v>0</v>
      </c>
      <c r="J36" s="13">
        <f t="shared" si="223"/>
        <v>1</v>
      </c>
      <c r="K36" s="9"/>
      <c r="L36" s="9"/>
      <c r="M36" s="9"/>
      <c r="N36" s="9"/>
      <c r="O36" s="9"/>
      <c r="P36" s="9"/>
      <c r="Q36" s="9"/>
      <c r="R36" s="9"/>
      <c r="S36" s="65"/>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c r="FN36" s="9"/>
      <c r="FO36" s="9"/>
      <c r="FP36" s="9"/>
      <c r="FQ36" s="9"/>
      <c r="FR36" s="9"/>
      <c r="FS36" s="9"/>
      <c r="FT36" s="9"/>
      <c r="FU36" s="9"/>
      <c r="FV36" s="9"/>
      <c r="FW36" s="9"/>
      <c r="FX36" s="9"/>
      <c r="FY36" s="9"/>
      <c r="FZ36" s="9"/>
      <c r="GA36" s="9"/>
      <c r="GB36" s="9"/>
      <c r="GC36" s="9"/>
      <c r="GD36" s="9"/>
      <c r="GE36" s="9"/>
      <c r="GF36" s="9"/>
      <c r="GG36" s="9"/>
      <c r="GH36" s="9"/>
      <c r="GI36" s="9"/>
      <c r="GJ36" s="9"/>
      <c r="GK36" s="9"/>
      <c r="GL36" s="9"/>
      <c r="GM36" s="9"/>
      <c r="GN36" s="9"/>
      <c r="GO36" s="9"/>
      <c r="GP36" s="9"/>
      <c r="GQ36" s="9"/>
      <c r="GR36" s="9"/>
      <c r="GS36" s="9"/>
      <c r="GT36" s="9"/>
      <c r="GU36" s="9"/>
      <c r="GV36" s="9"/>
      <c r="GW36" s="9"/>
      <c r="GX36" s="9"/>
      <c r="GY36" s="9"/>
      <c r="GZ36" s="9"/>
      <c r="HA36" s="9"/>
      <c r="HB36" s="9"/>
      <c r="HC36" s="9"/>
      <c r="HD36" s="9"/>
      <c r="HE36" s="9"/>
      <c r="HF36" s="9"/>
      <c r="HG36" s="9"/>
      <c r="HH36" s="9"/>
      <c r="HI36" s="9"/>
      <c r="HJ36" s="9"/>
      <c r="HK36" s="9"/>
      <c r="HL36" s="9"/>
      <c r="HM36" s="9"/>
      <c r="HN36" s="9"/>
      <c r="HO36" s="9"/>
      <c r="HP36" s="9"/>
      <c r="HQ36" s="9"/>
      <c r="HR36" s="9"/>
      <c r="HS36" s="9"/>
      <c r="HT36" s="9"/>
      <c r="HU36" s="9"/>
      <c r="HV36" s="9"/>
      <c r="HW36" s="9"/>
      <c r="HX36" s="9"/>
      <c r="HY36" s="9"/>
      <c r="HZ36" s="9"/>
      <c r="IA36" s="9"/>
      <c r="IB36" s="9"/>
      <c r="IC36" s="9"/>
      <c r="ID36" s="9"/>
      <c r="IE36" s="9"/>
      <c r="IF36" s="9"/>
      <c r="IG36" s="9"/>
      <c r="IH36" s="9"/>
      <c r="II36" s="9"/>
      <c r="IJ36" s="9"/>
      <c r="IK36" s="9"/>
      <c r="IL36" s="9"/>
      <c r="IM36" s="9"/>
      <c r="IN36" s="9"/>
      <c r="IO36" s="9"/>
      <c r="IP36" s="9"/>
      <c r="IQ36" s="9"/>
      <c r="IR36" s="9"/>
      <c r="IS36" s="9"/>
      <c r="IT36" s="9"/>
      <c r="IU36" s="9"/>
      <c r="IV36" s="9"/>
      <c r="IW36" s="9"/>
      <c r="IX36" s="9"/>
      <c r="IY36" s="9"/>
      <c r="IZ36" s="9"/>
      <c r="JA36" s="9"/>
      <c r="JB36" s="9"/>
      <c r="JG36" s="88"/>
    </row>
    <row r="37" spans="1:267" s="10" customFormat="1" ht="13.8" hidden="1" outlineLevel="1" x14ac:dyDescent="0.25">
      <c r="A37" s="9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5.4</v>
      </c>
      <c r="B37" s="94" cm="1">
        <f t="array" ref="B37">FindColor(A37)</f>
        <v>35</v>
      </c>
      <c r="C37" s="56" t="s">
        <v>46</v>
      </c>
      <c r="E37" s="57"/>
      <c r="F37" s="38">
        <v>43129</v>
      </c>
      <c r="G37" s="39">
        <f t="shared" si="222"/>
        <v>43129</v>
      </c>
      <c r="H37" s="11">
        <v>1</v>
      </c>
      <c r="I37" s="12">
        <v>0</v>
      </c>
      <c r="J37" s="13">
        <f t="shared" si="223"/>
        <v>1</v>
      </c>
      <c r="K37" s="9"/>
      <c r="L37" s="9"/>
      <c r="M37" s="9"/>
      <c r="N37" s="9"/>
      <c r="O37" s="9"/>
      <c r="P37" s="9"/>
      <c r="Q37" s="9"/>
      <c r="R37" s="9"/>
      <c r="S37" s="65"/>
      <c r="T37" s="65"/>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c r="FN37" s="9"/>
      <c r="FO37" s="9"/>
      <c r="FP37" s="9"/>
      <c r="FQ37" s="9"/>
      <c r="FR37" s="9"/>
      <c r="FS37" s="9"/>
      <c r="FT37" s="9"/>
      <c r="FU37" s="9"/>
      <c r="FV37" s="9"/>
      <c r="FW37" s="9"/>
      <c r="FX37" s="9"/>
      <c r="FY37" s="9"/>
      <c r="FZ37" s="9"/>
      <c r="GA37" s="9"/>
      <c r="GB37" s="9"/>
      <c r="GC37" s="9"/>
      <c r="GD37" s="9"/>
      <c r="GE37" s="9"/>
      <c r="GF37" s="9"/>
      <c r="GG37" s="9"/>
      <c r="GH37" s="9"/>
      <c r="GI37" s="9"/>
      <c r="GJ37" s="9"/>
      <c r="GK37" s="9"/>
      <c r="GL37" s="9"/>
      <c r="GM37" s="9"/>
      <c r="GN37" s="9"/>
      <c r="GO37" s="9"/>
      <c r="GP37" s="9"/>
      <c r="GQ37" s="9"/>
      <c r="GR37" s="9"/>
      <c r="GS37" s="9"/>
      <c r="GT37" s="9"/>
      <c r="GU37" s="9"/>
      <c r="GV37" s="9"/>
      <c r="GW37" s="9"/>
      <c r="GX37" s="9"/>
      <c r="GY37" s="9"/>
      <c r="GZ37" s="9"/>
      <c r="HA37" s="9"/>
      <c r="HB37" s="9"/>
      <c r="HC37" s="9"/>
      <c r="HD37" s="9"/>
      <c r="HE37" s="9"/>
      <c r="HF37" s="9"/>
      <c r="HG37" s="9"/>
      <c r="HH37" s="9"/>
      <c r="HI37" s="9"/>
      <c r="HJ37" s="9"/>
      <c r="HK37" s="9"/>
      <c r="HL37" s="9"/>
      <c r="HM37" s="9"/>
      <c r="HN37" s="9"/>
      <c r="HO37" s="9"/>
      <c r="HP37" s="9"/>
      <c r="HQ37" s="9"/>
      <c r="HR37" s="9"/>
      <c r="HS37" s="9"/>
      <c r="HT37" s="9"/>
      <c r="HU37" s="9"/>
      <c r="HV37" s="9"/>
      <c r="HW37" s="9"/>
      <c r="HX37" s="9"/>
      <c r="HY37" s="9"/>
      <c r="HZ37" s="9"/>
      <c r="IA37" s="9"/>
      <c r="IB37" s="9"/>
      <c r="IC37" s="9"/>
      <c r="ID37" s="9"/>
      <c r="IE37" s="9"/>
      <c r="IF37" s="9"/>
      <c r="IG37" s="9"/>
      <c r="IH37" s="9"/>
      <c r="II37" s="9"/>
      <c r="IJ37" s="9"/>
      <c r="IK37" s="9"/>
      <c r="IL37" s="9"/>
      <c r="IM37" s="9"/>
      <c r="IN37" s="9"/>
      <c r="IO37" s="9"/>
      <c r="IP37" s="9"/>
      <c r="IQ37" s="9"/>
      <c r="IR37" s="9"/>
      <c r="IS37" s="9"/>
      <c r="IT37" s="9"/>
      <c r="IU37" s="9"/>
      <c r="IV37" s="9"/>
      <c r="IW37" s="9"/>
      <c r="IX37" s="9"/>
      <c r="IY37" s="9"/>
      <c r="IZ37" s="9"/>
      <c r="JA37" s="9"/>
      <c r="JB37" s="9"/>
      <c r="JG37" s="88"/>
    </row>
    <row r="38" spans="1:267" s="10" customFormat="1" ht="26.4" hidden="1" outlineLevel="1" x14ac:dyDescent="0.25">
      <c r="A38" s="9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5.4.1</v>
      </c>
      <c r="B38" s="94" cm="1">
        <f t="array" ref="B38">FindColor(A38)</f>
        <v>24</v>
      </c>
      <c r="C38" s="108" t="s">
        <v>47</v>
      </c>
      <c r="E38" s="57"/>
      <c r="F38" s="38">
        <v>43129</v>
      </c>
      <c r="G38" s="39">
        <f t="shared" si="222"/>
        <v>43129</v>
      </c>
      <c r="H38" s="11">
        <v>1</v>
      </c>
      <c r="I38" s="12">
        <v>0</v>
      </c>
      <c r="J38" s="13">
        <f t="shared" si="223"/>
        <v>1</v>
      </c>
      <c r="K38" s="9"/>
      <c r="L38" s="9"/>
      <c r="M38" s="9"/>
      <c r="N38" s="9"/>
      <c r="O38" s="9"/>
      <c r="P38" s="9"/>
      <c r="Q38" s="9"/>
      <c r="R38" s="9"/>
      <c r="S38" s="65"/>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c r="FN38" s="9"/>
      <c r="FO38" s="9"/>
      <c r="FP38" s="9"/>
      <c r="FQ38" s="9"/>
      <c r="FR38" s="9"/>
      <c r="FS38" s="9"/>
      <c r="FT38" s="9"/>
      <c r="FU38" s="9"/>
      <c r="FV38" s="9"/>
      <c r="FW38" s="9"/>
      <c r="FX38" s="9"/>
      <c r="FY38" s="9"/>
      <c r="FZ38" s="9"/>
      <c r="GA38" s="9"/>
      <c r="GB38" s="9"/>
      <c r="GC38" s="9"/>
      <c r="GD38" s="9"/>
      <c r="GE38" s="9"/>
      <c r="GF38" s="9"/>
      <c r="GG38" s="9"/>
      <c r="GH38" s="9"/>
      <c r="GI38" s="9"/>
      <c r="GJ38" s="9"/>
      <c r="GK38" s="9"/>
      <c r="GL38" s="9"/>
      <c r="GM38" s="9"/>
      <c r="GN38" s="9"/>
      <c r="GO38" s="9"/>
      <c r="GP38" s="9"/>
      <c r="GQ38" s="9"/>
      <c r="GR38" s="9"/>
      <c r="GS38" s="9"/>
      <c r="GT38" s="9"/>
      <c r="GU38" s="9"/>
      <c r="GV38" s="9"/>
      <c r="GW38" s="9"/>
      <c r="GX38" s="9"/>
      <c r="GY38" s="9"/>
      <c r="GZ38" s="9"/>
      <c r="HA38" s="9"/>
      <c r="HB38" s="9"/>
      <c r="HC38" s="9"/>
      <c r="HD38" s="9"/>
      <c r="HE38" s="9"/>
      <c r="HF38" s="9"/>
      <c r="HG38" s="9"/>
      <c r="HH38" s="9"/>
      <c r="HI38" s="9"/>
      <c r="HJ38" s="9"/>
      <c r="HK38" s="9"/>
      <c r="HL38" s="9"/>
      <c r="HM38" s="9"/>
      <c r="HN38" s="9"/>
      <c r="HO38" s="9"/>
      <c r="HP38" s="9"/>
      <c r="HQ38" s="9"/>
      <c r="HR38" s="9"/>
      <c r="HS38" s="9"/>
      <c r="HT38" s="9"/>
      <c r="HU38" s="9"/>
      <c r="HV38" s="9"/>
      <c r="HW38" s="9"/>
      <c r="HX38" s="9"/>
      <c r="HY38" s="9"/>
      <c r="HZ38" s="9"/>
      <c r="IA38" s="9"/>
      <c r="IB38" s="9"/>
      <c r="IC38" s="9"/>
      <c r="ID38" s="9"/>
      <c r="IE38" s="9"/>
      <c r="IF38" s="9"/>
      <c r="IG38" s="9"/>
      <c r="IH38" s="9"/>
      <c r="II38" s="9"/>
      <c r="IJ38" s="9"/>
      <c r="IK38" s="9"/>
      <c r="IL38" s="9"/>
      <c r="IM38" s="9"/>
      <c r="IN38" s="9"/>
      <c r="IO38" s="9"/>
      <c r="IP38" s="9"/>
      <c r="IQ38" s="9"/>
      <c r="IR38" s="9"/>
      <c r="IS38" s="9"/>
      <c r="IT38" s="9"/>
      <c r="IU38" s="9"/>
      <c r="IV38" s="9"/>
      <c r="IW38" s="9"/>
      <c r="IX38" s="9"/>
      <c r="IY38" s="9"/>
      <c r="IZ38" s="9"/>
      <c r="JA38" s="9"/>
      <c r="JB38" s="9"/>
      <c r="JG38" s="88"/>
    </row>
    <row r="39" spans="1:267" s="10" customFormat="1" ht="39.6" hidden="1" outlineLevel="1" x14ac:dyDescent="0.25">
      <c r="A39" s="9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5.4.2</v>
      </c>
      <c r="B39" s="94" cm="1">
        <f t="array" ref="B39">FindColor(A39)</f>
        <v>24</v>
      </c>
      <c r="C39" s="108" t="s">
        <v>51</v>
      </c>
      <c r="E39" s="57"/>
      <c r="F39" s="38">
        <v>43129</v>
      </c>
      <c r="G39" s="39">
        <f t="shared" si="222"/>
        <v>43129</v>
      </c>
      <c r="H39" s="11">
        <v>1</v>
      </c>
      <c r="I39" s="12">
        <v>0</v>
      </c>
      <c r="J39" s="13">
        <f t="shared" si="223"/>
        <v>1</v>
      </c>
      <c r="K39" s="9"/>
      <c r="L39" s="9"/>
      <c r="M39" s="9"/>
      <c r="N39" s="9"/>
      <c r="O39" s="9"/>
      <c r="P39" s="9"/>
      <c r="Q39" s="9"/>
      <c r="R39" s="9"/>
      <c r="S39" s="9"/>
      <c r="T39" s="65"/>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c r="FN39" s="9"/>
      <c r="FO39" s="9"/>
      <c r="FP39" s="9"/>
      <c r="FQ39" s="9"/>
      <c r="FR39" s="9"/>
      <c r="FS39" s="9"/>
      <c r="FT39" s="9"/>
      <c r="FU39" s="9"/>
      <c r="FV39" s="9"/>
      <c r="FW39" s="9"/>
      <c r="FX39" s="9"/>
      <c r="FY39" s="9"/>
      <c r="FZ39" s="9"/>
      <c r="GA39" s="9"/>
      <c r="GB39" s="9"/>
      <c r="GC39" s="9"/>
      <c r="GD39" s="9"/>
      <c r="GE39" s="9"/>
      <c r="GF39" s="9"/>
      <c r="GG39" s="9"/>
      <c r="GH39" s="9"/>
      <c r="GI39" s="9"/>
      <c r="GJ39" s="9"/>
      <c r="GK39" s="9"/>
      <c r="GL39" s="9"/>
      <c r="GM39" s="9"/>
      <c r="GN39" s="9"/>
      <c r="GO39" s="9"/>
      <c r="GP39" s="9"/>
      <c r="GQ39" s="9"/>
      <c r="GR39" s="9"/>
      <c r="GS39" s="9"/>
      <c r="GT39" s="9"/>
      <c r="GU39" s="9"/>
      <c r="GV39" s="9"/>
      <c r="GW39" s="9"/>
      <c r="GX39" s="9"/>
      <c r="GY39" s="9"/>
      <c r="GZ39" s="9"/>
      <c r="HA39" s="9"/>
      <c r="HB39" s="9"/>
      <c r="HC39" s="9"/>
      <c r="HD39" s="9"/>
      <c r="HE39" s="9"/>
      <c r="HF39" s="9"/>
      <c r="HG39" s="9"/>
      <c r="HH39" s="9"/>
      <c r="HI39" s="9"/>
      <c r="HJ39" s="9"/>
      <c r="HK39" s="9"/>
      <c r="HL39" s="9"/>
      <c r="HM39" s="9"/>
      <c r="HN39" s="9"/>
      <c r="HO39" s="9"/>
      <c r="HP39" s="9"/>
      <c r="HQ39" s="9"/>
      <c r="HR39" s="9"/>
      <c r="HS39" s="9"/>
      <c r="HT39" s="9"/>
      <c r="HU39" s="9"/>
      <c r="HV39" s="9"/>
      <c r="HW39" s="9"/>
      <c r="HX39" s="9"/>
      <c r="HY39" s="9"/>
      <c r="HZ39" s="9"/>
      <c r="IA39" s="9"/>
      <c r="IB39" s="9"/>
      <c r="IC39" s="9"/>
      <c r="ID39" s="9"/>
      <c r="IE39" s="9"/>
      <c r="IF39" s="9"/>
      <c r="IG39" s="9"/>
      <c r="IH39" s="9"/>
      <c r="II39" s="9"/>
      <c r="IJ39" s="9"/>
      <c r="IK39" s="9"/>
      <c r="IL39" s="9"/>
      <c r="IM39" s="9"/>
      <c r="IN39" s="9"/>
      <c r="IO39" s="9"/>
      <c r="IP39" s="9"/>
      <c r="IQ39" s="9"/>
      <c r="IR39" s="9"/>
      <c r="IS39" s="9"/>
      <c r="IT39" s="9"/>
      <c r="IU39" s="9"/>
      <c r="IV39" s="9"/>
      <c r="IW39" s="9"/>
      <c r="IX39" s="9"/>
      <c r="IY39" s="9"/>
      <c r="IZ39" s="9"/>
      <c r="JA39" s="9"/>
      <c r="JB39" s="9"/>
      <c r="JG39" s="88"/>
    </row>
    <row r="40" spans="1:267" s="10" customFormat="1" ht="13.8" hidden="1" outlineLevel="1" x14ac:dyDescent="0.25">
      <c r="A40" s="9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5.5</v>
      </c>
      <c r="B40" s="94" cm="1">
        <f t="array" ref="B40">FindColor(A40)</f>
        <v>35</v>
      </c>
      <c r="C40" s="56" t="s">
        <v>48</v>
      </c>
      <c r="E40" s="57"/>
      <c r="F40" s="38">
        <v>43129</v>
      </c>
      <c r="G40" s="39">
        <f t="shared" si="222"/>
        <v>43129</v>
      </c>
      <c r="H40" s="11">
        <v>1</v>
      </c>
      <c r="I40" s="12">
        <v>0</v>
      </c>
      <c r="J40" s="13">
        <f t="shared" si="223"/>
        <v>1</v>
      </c>
      <c r="K40" s="9"/>
      <c r="L40" s="9"/>
      <c r="M40" s="9"/>
      <c r="N40" s="9"/>
      <c r="O40" s="9"/>
      <c r="P40" s="9"/>
      <c r="Q40" s="9"/>
      <c r="R40" s="9"/>
      <c r="S40" s="65"/>
      <c r="T40" s="65"/>
      <c r="U40" s="9"/>
      <c r="V40" s="9"/>
      <c r="W40" s="9"/>
      <c r="X40" s="9"/>
      <c r="Y40" s="9"/>
      <c r="Z40" s="9"/>
      <c r="AA40" s="9"/>
      <c r="AB40" s="9"/>
      <c r="AC40" s="9"/>
      <c r="AD40" s="9"/>
      <c r="AE40" s="9"/>
      <c r="AF40" s="9"/>
      <c r="AG40" s="9"/>
      <c r="AH40" s="9"/>
      <c r="AI40" s="9"/>
      <c r="AJ40" s="9"/>
      <c r="AK40" s="9"/>
      <c r="AL40" s="9"/>
      <c r="AM40" s="9"/>
      <c r="AN40" s="9"/>
      <c r="AO40" s="9"/>
      <c r="AP40" s="65"/>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c r="FN40" s="9"/>
      <c r="FO40" s="9"/>
      <c r="FP40" s="9"/>
      <c r="FQ40" s="9"/>
      <c r="FR40" s="9"/>
      <c r="FS40" s="9"/>
      <c r="FT40" s="9"/>
      <c r="FU40" s="9"/>
      <c r="FV40" s="9"/>
      <c r="FW40" s="9"/>
      <c r="FX40" s="9"/>
      <c r="FY40" s="9"/>
      <c r="FZ40" s="9"/>
      <c r="GA40" s="9"/>
      <c r="GB40" s="9"/>
      <c r="GC40" s="9"/>
      <c r="GD40" s="9"/>
      <c r="GE40" s="9"/>
      <c r="GF40" s="9"/>
      <c r="GG40" s="9"/>
      <c r="GH40" s="9"/>
      <c r="GI40" s="9"/>
      <c r="GJ40" s="9"/>
      <c r="GK40" s="9"/>
      <c r="GL40" s="9"/>
      <c r="GM40" s="9"/>
      <c r="GN40" s="9"/>
      <c r="GO40" s="9"/>
      <c r="GP40" s="9"/>
      <c r="GQ40" s="9"/>
      <c r="GR40" s="9"/>
      <c r="GS40" s="9"/>
      <c r="GT40" s="9"/>
      <c r="GU40" s="9"/>
      <c r="GV40" s="9"/>
      <c r="GW40" s="9"/>
      <c r="GX40" s="9"/>
      <c r="GY40" s="9"/>
      <c r="GZ40" s="9"/>
      <c r="HA40" s="9"/>
      <c r="HB40" s="9"/>
      <c r="HC40" s="9"/>
      <c r="HD40" s="9"/>
      <c r="HE40" s="9"/>
      <c r="HF40" s="9"/>
      <c r="HG40" s="9"/>
      <c r="HH40" s="9"/>
      <c r="HI40" s="9"/>
      <c r="HJ40" s="9"/>
      <c r="HK40" s="9"/>
      <c r="HL40" s="9"/>
      <c r="HM40" s="9"/>
      <c r="HN40" s="9"/>
      <c r="HO40" s="9"/>
      <c r="HP40" s="9"/>
      <c r="HQ40" s="9"/>
      <c r="HR40" s="9"/>
      <c r="HS40" s="9"/>
      <c r="HT40" s="9"/>
      <c r="HU40" s="9"/>
      <c r="HV40" s="9"/>
      <c r="HW40" s="9"/>
      <c r="HX40" s="9"/>
      <c r="HY40" s="9"/>
      <c r="HZ40" s="9"/>
      <c r="IA40" s="9"/>
      <c r="IB40" s="9"/>
      <c r="IC40" s="9"/>
      <c r="ID40" s="9"/>
      <c r="IE40" s="9"/>
      <c r="IF40" s="9"/>
      <c r="IG40" s="9"/>
      <c r="IH40" s="9"/>
      <c r="II40" s="9"/>
      <c r="IJ40" s="9"/>
      <c r="IK40" s="9"/>
      <c r="IL40" s="9"/>
      <c r="IM40" s="9"/>
      <c r="IN40" s="9"/>
      <c r="IO40" s="9"/>
      <c r="IP40" s="9"/>
      <c r="IQ40" s="9"/>
      <c r="IR40" s="9"/>
      <c r="IS40" s="9"/>
      <c r="IT40" s="9"/>
      <c r="IU40" s="9"/>
      <c r="IV40" s="9"/>
      <c r="IW40" s="9"/>
      <c r="IX40" s="9"/>
      <c r="IY40" s="9"/>
      <c r="IZ40" s="9"/>
      <c r="JA40" s="9"/>
      <c r="JB40" s="9"/>
      <c r="JG40" s="88"/>
    </row>
    <row r="41" spans="1:267" s="10" customFormat="1" ht="13.8" hidden="1" outlineLevel="1" x14ac:dyDescent="0.25">
      <c r="A41" s="9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5.5.1</v>
      </c>
      <c r="B41" s="94" cm="1">
        <f t="array" ref="B41">FindColor(A41)</f>
        <v>24</v>
      </c>
      <c r="C41" s="108" t="s">
        <v>49</v>
      </c>
      <c r="E41" s="57"/>
      <c r="F41" s="38">
        <v>43129</v>
      </c>
      <c r="G41" s="39">
        <f t="shared" si="222"/>
        <v>43129</v>
      </c>
      <c r="H41" s="11">
        <v>1</v>
      </c>
      <c r="I41" s="12">
        <v>0</v>
      </c>
      <c r="J41" s="13">
        <f t="shared" si="223"/>
        <v>1</v>
      </c>
      <c r="K41" s="9"/>
      <c r="L41" s="9"/>
      <c r="M41" s="9"/>
      <c r="N41" s="9"/>
      <c r="O41" s="9"/>
      <c r="P41" s="9"/>
      <c r="Q41" s="9"/>
      <c r="R41" s="9"/>
      <c r="S41" s="65"/>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c r="FN41" s="9"/>
      <c r="FO41" s="9"/>
      <c r="FP41" s="9"/>
      <c r="FQ41" s="9"/>
      <c r="FR41" s="9"/>
      <c r="FS41" s="9"/>
      <c r="FT41" s="9"/>
      <c r="FU41" s="9"/>
      <c r="FV41" s="9"/>
      <c r="FW41" s="9"/>
      <c r="FX41" s="9"/>
      <c r="FY41" s="9"/>
      <c r="FZ41" s="9"/>
      <c r="GA41" s="9"/>
      <c r="GB41" s="9"/>
      <c r="GC41" s="9"/>
      <c r="GD41" s="9"/>
      <c r="GE41" s="9"/>
      <c r="GF41" s="9"/>
      <c r="GG41" s="9"/>
      <c r="GH41" s="9"/>
      <c r="GI41" s="9"/>
      <c r="GJ41" s="9"/>
      <c r="GK41" s="9"/>
      <c r="GL41" s="9"/>
      <c r="GM41" s="9"/>
      <c r="GN41" s="9"/>
      <c r="GO41" s="9"/>
      <c r="GP41" s="9"/>
      <c r="GQ41" s="9"/>
      <c r="GR41" s="9"/>
      <c r="GS41" s="9"/>
      <c r="GT41" s="9"/>
      <c r="GU41" s="9"/>
      <c r="GV41" s="9"/>
      <c r="GW41" s="9"/>
      <c r="GX41" s="9"/>
      <c r="GY41" s="9"/>
      <c r="GZ41" s="9"/>
      <c r="HA41" s="9"/>
      <c r="HB41" s="9"/>
      <c r="HC41" s="9"/>
      <c r="HD41" s="9"/>
      <c r="HE41" s="9"/>
      <c r="HF41" s="9"/>
      <c r="HG41" s="9"/>
      <c r="HH41" s="9"/>
      <c r="HI41" s="9"/>
      <c r="HJ41" s="9"/>
      <c r="HK41" s="9"/>
      <c r="HL41" s="9"/>
      <c r="HM41" s="9"/>
      <c r="HN41" s="9"/>
      <c r="HO41" s="9"/>
      <c r="HP41" s="9"/>
      <c r="HQ41" s="9"/>
      <c r="HR41" s="9"/>
      <c r="HS41" s="9"/>
      <c r="HT41" s="9"/>
      <c r="HU41" s="9"/>
      <c r="HV41" s="9"/>
      <c r="HW41" s="9"/>
      <c r="HX41" s="9"/>
      <c r="HY41" s="9"/>
      <c r="HZ41" s="9"/>
      <c r="IA41" s="9"/>
      <c r="IB41" s="9"/>
      <c r="IC41" s="9"/>
      <c r="ID41" s="9"/>
      <c r="IE41" s="9"/>
      <c r="IF41" s="9"/>
      <c r="IG41" s="9"/>
      <c r="IH41" s="9"/>
      <c r="II41" s="9"/>
      <c r="IJ41" s="9"/>
      <c r="IK41" s="9"/>
      <c r="IL41" s="9"/>
      <c r="IM41" s="9"/>
      <c r="IN41" s="9"/>
      <c r="IO41" s="9"/>
      <c r="IP41" s="9"/>
      <c r="IQ41" s="9"/>
      <c r="IR41" s="9"/>
      <c r="IS41" s="9"/>
      <c r="IT41" s="9"/>
      <c r="IU41" s="9"/>
      <c r="IV41" s="9"/>
      <c r="IW41" s="9"/>
      <c r="IX41" s="9"/>
      <c r="IY41" s="9"/>
      <c r="IZ41" s="9"/>
      <c r="JA41" s="9"/>
      <c r="JB41" s="9"/>
      <c r="JG41" s="88"/>
    </row>
    <row r="42" spans="1:267" s="10" customFormat="1" ht="13.8" hidden="1" outlineLevel="1" x14ac:dyDescent="0.25">
      <c r="A42" s="9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5.5.2</v>
      </c>
      <c r="B42" s="94" cm="1">
        <f t="array" ref="B42">FindColor(A42)</f>
        <v>24</v>
      </c>
      <c r="C42" s="108" t="s">
        <v>50</v>
      </c>
      <c r="E42" s="57"/>
      <c r="F42" s="38">
        <v>43129</v>
      </c>
      <c r="G42" s="39">
        <f t="shared" si="222"/>
        <v>43129</v>
      </c>
      <c r="H42" s="11">
        <v>1</v>
      </c>
      <c r="I42" s="12">
        <v>0</v>
      </c>
      <c r="J42" s="13">
        <f t="shared" si="223"/>
        <v>1</v>
      </c>
      <c r="K42" s="9"/>
      <c r="L42" s="9"/>
      <c r="M42" s="9"/>
      <c r="N42" s="9"/>
      <c r="O42" s="9"/>
      <c r="P42" s="9"/>
      <c r="Q42" s="9"/>
      <c r="R42" s="9"/>
      <c r="S42" s="9"/>
      <c r="T42" s="65"/>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c r="FN42" s="9"/>
      <c r="FO42" s="9"/>
      <c r="FP42" s="9"/>
      <c r="FQ42" s="9"/>
      <c r="FR42" s="9"/>
      <c r="FS42" s="9"/>
      <c r="FT42" s="9"/>
      <c r="FU42" s="9"/>
      <c r="FV42" s="9"/>
      <c r="FW42" s="9"/>
      <c r="FX42" s="9"/>
      <c r="FY42" s="9"/>
      <c r="FZ42" s="9"/>
      <c r="GA42" s="9"/>
      <c r="GB42" s="9"/>
      <c r="GC42" s="9"/>
      <c r="GD42" s="9"/>
      <c r="GE42" s="9"/>
      <c r="GF42" s="9"/>
      <c r="GG42" s="9"/>
      <c r="GH42" s="9"/>
      <c r="GI42" s="9"/>
      <c r="GJ42" s="9"/>
      <c r="GK42" s="9"/>
      <c r="GL42" s="9"/>
      <c r="GM42" s="9"/>
      <c r="GN42" s="9"/>
      <c r="GO42" s="9"/>
      <c r="GP42" s="9"/>
      <c r="GQ42" s="9"/>
      <c r="GR42" s="9"/>
      <c r="GS42" s="9"/>
      <c r="GT42" s="9"/>
      <c r="GU42" s="9"/>
      <c r="GV42" s="9"/>
      <c r="GW42" s="9"/>
      <c r="GX42" s="9"/>
      <c r="GY42" s="9"/>
      <c r="GZ42" s="9"/>
      <c r="HA42" s="9"/>
      <c r="HB42" s="9"/>
      <c r="HC42" s="9"/>
      <c r="HD42" s="9"/>
      <c r="HE42" s="9"/>
      <c r="HF42" s="9"/>
      <c r="HG42" s="9"/>
      <c r="HH42" s="9"/>
      <c r="HI42" s="9"/>
      <c r="HJ42" s="9"/>
      <c r="HK42" s="9"/>
      <c r="HL42" s="9"/>
      <c r="HM42" s="9"/>
      <c r="HN42" s="9"/>
      <c r="HO42" s="9"/>
      <c r="HP42" s="9"/>
      <c r="HQ42" s="9"/>
      <c r="HR42" s="9"/>
      <c r="HS42" s="9"/>
      <c r="HT42" s="9"/>
      <c r="HU42" s="9"/>
      <c r="HV42" s="9"/>
      <c r="HW42" s="9"/>
      <c r="HX42" s="9"/>
      <c r="HY42" s="9"/>
      <c r="HZ42" s="9"/>
      <c r="IA42" s="9"/>
      <c r="IB42" s="9"/>
      <c r="IC42" s="9"/>
      <c r="ID42" s="9"/>
      <c r="IE42" s="9"/>
      <c r="IF42" s="9"/>
      <c r="IG42" s="9"/>
      <c r="IH42" s="9"/>
      <c r="II42" s="9"/>
      <c r="IJ42" s="9"/>
      <c r="IK42" s="9"/>
      <c r="IL42" s="9"/>
      <c r="IM42" s="9"/>
      <c r="IN42" s="9"/>
      <c r="IO42" s="9"/>
      <c r="IP42" s="9"/>
      <c r="IQ42" s="9"/>
      <c r="IR42" s="9"/>
      <c r="IS42" s="9"/>
      <c r="IT42" s="9"/>
      <c r="IU42" s="9"/>
      <c r="IV42" s="9"/>
      <c r="IW42" s="9"/>
      <c r="IX42" s="9"/>
      <c r="IY42" s="9"/>
      <c r="IZ42" s="9"/>
      <c r="JA42" s="9"/>
      <c r="JB42" s="9"/>
      <c r="JG42" s="88"/>
    </row>
    <row r="43" spans="1:267" s="10" customFormat="1" ht="26.4" hidden="1" outlineLevel="1" x14ac:dyDescent="0.25">
      <c r="A43" s="9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5.5.3</v>
      </c>
      <c r="B43" s="94" cm="1">
        <f t="array" ref="B43">FindColor(A43)</f>
        <v>24</v>
      </c>
      <c r="C43" s="108" t="s">
        <v>64</v>
      </c>
      <c r="E43" s="57"/>
      <c r="F43" s="38">
        <v>43129</v>
      </c>
      <c r="G43" s="39">
        <f t="shared" si="222"/>
        <v>43129</v>
      </c>
      <c r="H43" s="11">
        <v>1</v>
      </c>
      <c r="I43" s="12">
        <v>0</v>
      </c>
      <c r="J43" s="13">
        <f t="shared" si="223"/>
        <v>1</v>
      </c>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65"/>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c r="FN43" s="9"/>
      <c r="FO43" s="9"/>
      <c r="FP43" s="9"/>
      <c r="FQ43" s="9"/>
      <c r="FR43" s="9"/>
      <c r="FS43" s="9"/>
      <c r="FT43" s="9"/>
      <c r="FU43" s="9"/>
      <c r="FV43" s="9"/>
      <c r="FW43" s="9"/>
      <c r="FX43" s="9"/>
      <c r="FY43" s="9"/>
      <c r="FZ43" s="9"/>
      <c r="GA43" s="9"/>
      <c r="GB43" s="9"/>
      <c r="GC43" s="9"/>
      <c r="GD43" s="9"/>
      <c r="GE43" s="9"/>
      <c r="GF43" s="9"/>
      <c r="GG43" s="9"/>
      <c r="GH43" s="9"/>
      <c r="GI43" s="9"/>
      <c r="GJ43" s="9"/>
      <c r="GK43" s="9"/>
      <c r="GL43" s="9"/>
      <c r="GM43" s="9"/>
      <c r="GN43" s="9"/>
      <c r="GO43" s="9"/>
      <c r="GP43" s="9"/>
      <c r="GQ43" s="9"/>
      <c r="GR43" s="9"/>
      <c r="GS43" s="9"/>
      <c r="GT43" s="9"/>
      <c r="GU43" s="9"/>
      <c r="GV43" s="9"/>
      <c r="GW43" s="9"/>
      <c r="GX43" s="9"/>
      <c r="GY43" s="9"/>
      <c r="GZ43" s="9"/>
      <c r="HA43" s="9"/>
      <c r="HB43" s="9"/>
      <c r="HC43" s="9"/>
      <c r="HD43" s="9"/>
      <c r="HE43" s="9"/>
      <c r="HF43" s="9"/>
      <c r="HG43" s="9"/>
      <c r="HH43" s="9"/>
      <c r="HI43" s="9"/>
      <c r="HJ43" s="9"/>
      <c r="HK43" s="9"/>
      <c r="HL43" s="9"/>
      <c r="HM43" s="9"/>
      <c r="HN43" s="9"/>
      <c r="HO43" s="9"/>
      <c r="HP43" s="9"/>
      <c r="HQ43" s="9"/>
      <c r="HR43" s="9"/>
      <c r="HS43" s="9"/>
      <c r="HT43" s="9"/>
      <c r="HU43" s="9"/>
      <c r="HV43" s="9"/>
      <c r="HW43" s="9"/>
      <c r="HX43" s="9"/>
      <c r="HY43" s="9"/>
      <c r="HZ43" s="9"/>
      <c r="IA43" s="9"/>
      <c r="IB43" s="9"/>
      <c r="IC43" s="9"/>
      <c r="ID43" s="9"/>
      <c r="IE43" s="9"/>
      <c r="IF43" s="9"/>
      <c r="IG43" s="9"/>
      <c r="IH43" s="9"/>
      <c r="II43" s="9"/>
      <c r="IJ43" s="9"/>
      <c r="IK43" s="9"/>
      <c r="IL43" s="9"/>
      <c r="IM43" s="9"/>
      <c r="IN43" s="9"/>
      <c r="IO43" s="9"/>
      <c r="IP43" s="9"/>
      <c r="IQ43" s="9"/>
      <c r="IR43" s="9"/>
      <c r="IS43" s="9"/>
      <c r="IT43" s="9"/>
      <c r="IU43" s="9"/>
      <c r="IV43" s="9"/>
      <c r="IW43" s="9"/>
      <c r="IX43" s="9"/>
      <c r="IY43" s="9"/>
      <c r="IZ43" s="9"/>
      <c r="JA43" s="9"/>
      <c r="JB43" s="9"/>
      <c r="JG43" s="88"/>
    </row>
    <row r="44" spans="1:267" s="10" customFormat="1" ht="13.8" hidden="1" outlineLevel="1" x14ac:dyDescent="0.25">
      <c r="A44" s="9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5.5.4</v>
      </c>
      <c r="B44" s="94" cm="1">
        <f t="array" ref="B44">FindColor(A44)</f>
        <v>24</v>
      </c>
      <c r="C44" s="108" t="s">
        <v>65</v>
      </c>
      <c r="E44" s="57"/>
      <c r="F44" s="38">
        <v>43129</v>
      </c>
      <c r="G44" s="39">
        <f t="shared" si="222"/>
        <v>43129</v>
      </c>
      <c r="H44" s="11">
        <v>1</v>
      </c>
      <c r="I44" s="12">
        <v>0</v>
      </c>
      <c r="J44" s="13">
        <f t="shared" si="223"/>
        <v>1</v>
      </c>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65"/>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c r="FN44" s="9"/>
      <c r="FO44" s="9"/>
      <c r="FP44" s="9"/>
      <c r="FQ44" s="9"/>
      <c r="FR44" s="9"/>
      <c r="FS44" s="9"/>
      <c r="FT44" s="9"/>
      <c r="FU44" s="9"/>
      <c r="FV44" s="9"/>
      <c r="FW44" s="9"/>
      <c r="FX44" s="9"/>
      <c r="FY44" s="9"/>
      <c r="FZ44" s="9"/>
      <c r="GA44" s="9"/>
      <c r="GB44" s="9"/>
      <c r="GC44" s="9"/>
      <c r="GD44" s="9"/>
      <c r="GE44" s="9"/>
      <c r="GF44" s="9"/>
      <c r="GG44" s="9"/>
      <c r="GH44" s="9"/>
      <c r="GI44" s="9"/>
      <c r="GJ44" s="9"/>
      <c r="GK44" s="9"/>
      <c r="GL44" s="9"/>
      <c r="GM44" s="9"/>
      <c r="GN44" s="9"/>
      <c r="GO44" s="9"/>
      <c r="GP44" s="9"/>
      <c r="GQ44" s="9"/>
      <c r="GR44" s="9"/>
      <c r="GS44" s="9"/>
      <c r="GT44" s="9"/>
      <c r="GU44" s="9"/>
      <c r="GV44" s="9"/>
      <c r="GW44" s="9"/>
      <c r="GX44" s="9"/>
      <c r="GY44" s="9"/>
      <c r="GZ44" s="9"/>
      <c r="HA44" s="9"/>
      <c r="HB44" s="9"/>
      <c r="HC44" s="9"/>
      <c r="HD44" s="9"/>
      <c r="HE44" s="9"/>
      <c r="HF44" s="9"/>
      <c r="HG44" s="9"/>
      <c r="HH44" s="9"/>
      <c r="HI44" s="9"/>
      <c r="HJ44" s="9"/>
      <c r="HK44" s="9"/>
      <c r="HL44" s="9"/>
      <c r="HM44" s="9"/>
      <c r="HN44" s="9"/>
      <c r="HO44" s="9"/>
      <c r="HP44" s="9"/>
      <c r="HQ44" s="9"/>
      <c r="HR44" s="9"/>
      <c r="HS44" s="9"/>
      <c r="HT44" s="9"/>
      <c r="HU44" s="9"/>
      <c r="HV44" s="9"/>
      <c r="HW44" s="9"/>
      <c r="HX44" s="9"/>
      <c r="HY44" s="9"/>
      <c r="HZ44" s="9"/>
      <c r="IA44" s="9"/>
      <c r="IB44" s="9"/>
      <c r="IC44" s="9"/>
      <c r="ID44" s="9"/>
      <c r="IE44" s="9"/>
      <c r="IF44" s="9"/>
      <c r="IG44" s="9"/>
      <c r="IH44" s="9"/>
      <c r="II44" s="9"/>
      <c r="IJ44" s="9"/>
      <c r="IK44" s="9"/>
      <c r="IL44" s="9"/>
      <c r="IM44" s="9"/>
      <c r="IN44" s="9"/>
      <c r="IO44" s="9"/>
      <c r="IP44" s="9"/>
      <c r="IQ44" s="9"/>
      <c r="IR44" s="9"/>
      <c r="IS44" s="9"/>
      <c r="IT44" s="9"/>
      <c r="IU44" s="9"/>
      <c r="IV44" s="9"/>
      <c r="IW44" s="9"/>
      <c r="IX44" s="9"/>
      <c r="IY44" s="9"/>
      <c r="IZ44" s="9"/>
      <c r="JA44" s="9"/>
      <c r="JB44" s="9"/>
      <c r="JG44" s="88"/>
    </row>
    <row r="45" spans="1:267" s="4" customFormat="1" ht="13.8" x14ac:dyDescent="0.25">
      <c r="A45" s="3" t="str">
        <f>IF(ISERROR(VALUE(SUBSTITUTE(prevWBS,".",""))),"1",IF(ISERROR(FIND("`",SUBSTITUTE(prevWBS,".","`",1))),TEXT(VALUE(prevWBS)+1,"#"),TEXT(VALUE(LEFT(prevWBS,FIND("`",SUBSTITUTE(prevWBS,".","`",1))-1))+1,"#")))</f>
        <v>6</v>
      </c>
      <c r="B45" s="94" cm="1">
        <f t="array" ref="B45">FindColor(A45)</f>
        <v>15</v>
      </c>
      <c r="C45" s="67" t="s">
        <v>35</v>
      </c>
      <c r="E45" s="5"/>
      <c r="F45" s="40"/>
      <c r="G45" s="40" t="str">
        <f t="shared" ref="G45:G54" si="224">IF(ISBLANK(F45)," - ",IF(H45=0,F45,F45+H45-1))</f>
        <v xml:space="preserve"> - </v>
      </c>
      <c r="H45" s="6"/>
      <c r="I45" s="7"/>
      <c r="J45" s="8" t="str">
        <f t="shared" ref="J45:J54" si="225">IF(OR(G45=0,F45=0)," - ",NETWORKDAYS(F45,G45))</f>
        <v xml:space="preserve"> - </v>
      </c>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c r="BB45" s="45"/>
      <c r="BC45" s="45"/>
      <c r="BD45" s="45"/>
      <c r="BE45" s="45"/>
      <c r="BF45" s="45"/>
      <c r="BG45" s="45"/>
      <c r="BH45" s="45"/>
      <c r="BI45" s="45"/>
      <c r="BJ45" s="45"/>
      <c r="BK45" s="45"/>
      <c r="BL45" s="45"/>
      <c r="BM45" s="45"/>
      <c r="BN45" s="45"/>
      <c r="BO45" s="45"/>
      <c r="BP45" s="45"/>
      <c r="BQ45" s="45"/>
      <c r="BR45" s="45"/>
      <c r="BS45" s="45"/>
      <c r="BT45" s="45"/>
      <c r="BU45" s="45"/>
      <c r="BV45" s="45"/>
      <c r="BW45" s="45"/>
      <c r="BX45" s="45"/>
      <c r="BY45" s="45"/>
      <c r="BZ45" s="45"/>
      <c r="CA45" s="45"/>
      <c r="CB45" s="45"/>
      <c r="CC45" s="45"/>
      <c r="CD45" s="45"/>
      <c r="CE45" s="45"/>
      <c r="CF45" s="45"/>
      <c r="CG45" s="45"/>
      <c r="CH45" s="45"/>
      <c r="CI45" s="45"/>
      <c r="CJ45" s="45"/>
      <c r="CK45" s="45"/>
      <c r="CL45" s="45"/>
      <c r="CM45" s="45"/>
      <c r="CN45" s="45"/>
      <c r="CO45" s="45"/>
      <c r="CP45" s="45"/>
      <c r="CQ45" s="45"/>
      <c r="CR45" s="45"/>
      <c r="CS45" s="45"/>
      <c r="CT45" s="45"/>
      <c r="CU45" s="45"/>
      <c r="CV45" s="45"/>
      <c r="CW45" s="45"/>
      <c r="CX45" s="45"/>
      <c r="CY45" s="45"/>
      <c r="CZ45" s="45"/>
      <c r="DA45" s="45"/>
      <c r="DB45" s="45"/>
      <c r="DC45" s="45"/>
      <c r="DD45" s="45"/>
      <c r="DE45" s="45"/>
      <c r="DF45" s="45"/>
      <c r="DG45" s="45"/>
      <c r="DH45" s="45"/>
      <c r="DI45" s="45"/>
      <c r="DJ45" s="45"/>
      <c r="DK45" s="45"/>
      <c r="DL45" s="45"/>
      <c r="DM45" s="45"/>
      <c r="DN45" s="45"/>
      <c r="DO45" s="45"/>
      <c r="DP45" s="45"/>
      <c r="DQ45" s="45"/>
      <c r="DR45" s="45"/>
      <c r="DS45" s="45"/>
      <c r="DT45" s="45"/>
      <c r="DU45" s="45"/>
      <c r="DV45" s="45"/>
      <c r="DW45" s="45"/>
      <c r="DX45" s="45"/>
      <c r="DY45" s="45"/>
      <c r="DZ45" s="45"/>
      <c r="EA45" s="45"/>
      <c r="EB45" s="45"/>
      <c r="EC45" s="45"/>
      <c r="ED45" s="45"/>
      <c r="EE45" s="45"/>
      <c r="EF45" s="45"/>
      <c r="EG45" s="45"/>
      <c r="EH45" s="45"/>
      <c r="EI45" s="45"/>
      <c r="EJ45" s="45"/>
      <c r="EK45" s="45"/>
      <c r="EL45" s="45"/>
      <c r="EM45" s="45"/>
      <c r="EN45" s="45"/>
      <c r="EO45" s="45"/>
      <c r="EP45" s="45"/>
      <c r="EQ45" s="45"/>
      <c r="ER45" s="45"/>
      <c r="ES45" s="45"/>
      <c r="ET45" s="45"/>
      <c r="EU45" s="45"/>
      <c r="EV45" s="45"/>
      <c r="EW45" s="45"/>
      <c r="EX45" s="45"/>
      <c r="EY45" s="45"/>
      <c r="EZ45" s="45"/>
      <c r="FA45" s="45"/>
      <c r="FB45" s="45"/>
      <c r="FC45" s="45"/>
      <c r="FD45" s="45"/>
      <c r="FE45" s="45"/>
      <c r="FF45" s="45"/>
      <c r="FG45" s="45"/>
      <c r="FH45" s="45"/>
      <c r="FI45" s="45"/>
      <c r="FJ45" s="45"/>
      <c r="FK45" s="45"/>
      <c r="FL45" s="45"/>
      <c r="FM45" s="45"/>
      <c r="FN45" s="45"/>
      <c r="FO45" s="45"/>
      <c r="FP45" s="45"/>
      <c r="FQ45" s="45"/>
      <c r="FR45" s="45"/>
      <c r="FS45" s="45"/>
      <c r="FT45" s="45"/>
      <c r="FU45" s="45"/>
      <c r="FV45" s="45"/>
      <c r="FW45" s="45"/>
      <c r="FX45" s="45"/>
      <c r="FY45" s="45"/>
      <c r="FZ45" s="45"/>
      <c r="GA45" s="45"/>
      <c r="GB45" s="45"/>
      <c r="GC45" s="45"/>
      <c r="GD45" s="45"/>
      <c r="GE45" s="45"/>
      <c r="GF45" s="45"/>
      <c r="GG45" s="45"/>
      <c r="GH45" s="45"/>
      <c r="GI45" s="45"/>
      <c r="GJ45" s="45"/>
      <c r="GK45" s="45"/>
      <c r="GL45" s="45"/>
      <c r="GM45" s="45"/>
      <c r="GN45" s="45"/>
      <c r="GO45" s="45"/>
      <c r="GP45" s="45"/>
      <c r="GQ45" s="45"/>
      <c r="GR45" s="45"/>
      <c r="GS45" s="45"/>
      <c r="GT45" s="45"/>
      <c r="GU45" s="45"/>
      <c r="GV45" s="45"/>
      <c r="GW45" s="45"/>
      <c r="GX45" s="45"/>
      <c r="GY45" s="45"/>
      <c r="GZ45" s="45"/>
      <c r="HA45" s="45"/>
      <c r="HB45" s="45"/>
      <c r="HC45" s="45"/>
      <c r="HD45" s="45"/>
      <c r="HE45" s="45"/>
      <c r="HF45" s="45"/>
      <c r="HG45" s="45"/>
      <c r="HH45" s="45"/>
      <c r="HI45" s="45"/>
      <c r="HJ45" s="45"/>
      <c r="HK45" s="45"/>
      <c r="HL45" s="45"/>
      <c r="HM45" s="45"/>
      <c r="HN45" s="45"/>
      <c r="HO45" s="45"/>
      <c r="HP45" s="45"/>
      <c r="HQ45" s="45"/>
      <c r="HR45" s="45"/>
      <c r="HS45" s="45"/>
      <c r="HT45" s="45"/>
      <c r="HU45" s="45"/>
      <c r="HV45" s="45"/>
      <c r="HW45" s="45"/>
      <c r="HX45" s="45"/>
      <c r="HY45" s="45"/>
      <c r="HZ45" s="45"/>
      <c r="IA45" s="45"/>
      <c r="IB45" s="45"/>
      <c r="IC45" s="45"/>
      <c r="ID45" s="45"/>
      <c r="IE45" s="45"/>
      <c r="IF45" s="45"/>
      <c r="IG45" s="45"/>
      <c r="IH45" s="45"/>
      <c r="II45" s="45"/>
      <c r="IJ45" s="45"/>
      <c r="IK45" s="45"/>
      <c r="IL45" s="45"/>
      <c r="IM45" s="45"/>
      <c r="IN45" s="45"/>
      <c r="IO45" s="45"/>
      <c r="IP45" s="45"/>
      <c r="IQ45" s="45"/>
      <c r="IR45" s="45"/>
      <c r="IS45" s="45"/>
      <c r="IT45" s="45"/>
      <c r="IU45" s="45"/>
      <c r="IV45" s="45"/>
      <c r="IW45" s="45"/>
      <c r="IX45" s="45"/>
      <c r="IY45" s="45"/>
      <c r="IZ45" s="45"/>
      <c r="JA45" s="45"/>
      <c r="JB45" s="45"/>
      <c r="JG45" s="87"/>
    </row>
    <row r="46" spans="1:267" s="10" customFormat="1" ht="13.8" outlineLevel="1" x14ac:dyDescent="0.25">
      <c r="A46" s="9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46" s="94" cm="1">
        <f t="array" ref="B46">FindColor(A46)</f>
        <v>35</v>
      </c>
      <c r="C46" s="69" t="s">
        <v>36</v>
      </c>
      <c r="E46" s="57"/>
      <c r="F46" s="38">
        <v>43129</v>
      </c>
      <c r="G46" s="39">
        <f t="shared" si="224"/>
        <v>43129</v>
      </c>
      <c r="H46" s="11">
        <v>1</v>
      </c>
      <c r="I46" s="12">
        <v>0</v>
      </c>
      <c r="J46" s="13">
        <f t="shared" si="225"/>
        <v>1</v>
      </c>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c r="FN46" s="9"/>
      <c r="FO46" s="9"/>
      <c r="FP46" s="9"/>
      <c r="FQ46" s="9"/>
      <c r="FR46" s="9"/>
      <c r="FS46" s="9"/>
      <c r="FT46" s="9"/>
      <c r="FU46" s="9"/>
      <c r="FV46" s="9"/>
      <c r="FW46" s="9"/>
      <c r="FX46" s="9"/>
      <c r="FY46" s="9"/>
      <c r="FZ46" s="9"/>
      <c r="GA46" s="9"/>
      <c r="GB46" s="9"/>
      <c r="GC46" s="9"/>
      <c r="GD46" s="9"/>
      <c r="GE46" s="9"/>
      <c r="GF46" s="9"/>
      <c r="GG46" s="9"/>
      <c r="GH46" s="9"/>
      <c r="GI46" s="9"/>
      <c r="GJ46" s="9"/>
      <c r="GK46" s="9"/>
      <c r="GL46" s="9"/>
      <c r="GM46" s="9"/>
      <c r="GN46" s="9"/>
      <c r="GO46" s="9"/>
      <c r="GP46" s="9"/>
      <c r="GQ46" s="9"/>
      <c r="GR46" s="9"/>
      <c r="GS46" s="9"/>
      <c r="GT46" s="9"/>
      <c r="GU46" s="9"/>
      <c r="GV46" s="9"/>
      <c r="GW46" s="9"/>
      <c r="GX46" s="9"/>
      <c r="GY46" s="9"/>
      <c r="GZ46" s="9"/>
      <c r="HA46" s="9"/>
      <c r="HB46" s="9"/>
      <c r="HC46" s="9"/>
      <c r="HD46" s="9"/>
      <c r="HE46" s="9"/>
      <c r="HF46" s="9"/>
      <c r="HG46" s="9"/>
      <c r="HH46" s="9"/>
      <c r="HI46" s="9"/>
      <c r="HJ46" s="9"/>
      <c r="HK46" s="9"/>
      <c r="HL46" s="9"/>
      <c r="HM46" s="9"/>
      <c r="HN46" s="9"/>
      <c r="HO46" s="9"/>
      <c r="HP46" s="9"/>
      <c r="HQ46" s="9"/>
      <c r="HR46" s="9"/>
      <c r="HS46" s="9"/>
      <c r="HT46" s="9"/>
      <c r="HU46" s="9"/>
      <c r="HV46" s="9"/>
      <c r="HW46" s="9"/>
      <c r="HX46" s="9"/>
      <c r="HY46" s="9"/>
      <c r="HZ46" s="9"/>
      <c r="IA46" s="9"/>
      <c r="IB46" s="9"/>
      <c r="IC46" s="9"/>
      <c r="ID46" s="9"/>
      <c r="IE46" s="9"/>
      <c r="IF46" s="9"/>
      <c r="IG46" s="9"/>
      <c r="IH46" s="9"/>
      <c r="II46" s="9"/>
      <c r="IJ46" s="9"/>
      <c r="IK46" s="9"/>
      <c r="IL46" s="9"/>
      <c r="IM46" s="9"/>
      <c r="IN46" s="9"/>
      <c r="IO46" s="9"/>
      <c r="IP46" s="9"/>
      <c r="IQ46" s="9"/>
      <c r="IR46" s="9"/>
      <c r="IS46" s="9"/>
      <c r="IT46" s="9"/>
      <c r="IU46" s="9"/>
      <c r="IV46" s="9"/>
      <c r="IW46" s="9"/>
      <c r="IX46" s="9"/>
      <c r="IY46" s="9"/>
      <c r="IZ46" s="9"/>
      <c r="JA46" s="9"/>
      <c r="JB46" s="9"/>
      <c r="JG46" s="88"/>
    </row>
    <row r="47" spans="1:267" s="10" customFormat="1" ht="13.8" outlineLevel="1" x14ac:dyDescent="0.25">
      <c r="A47" s="9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6.1.1</v>
      </c>
      <c r="B47" s="94" cm="1">
        <f t="array" ref="B47">FindColor(A47)</f>
        <v>24</v>
      </c>
      <c r="C47" s="74" t="s">
        <v>37</v>
      </c>
      <c r="E47" s="57"/>
      <c r="F47" s="38">
        <v>43129</v>
      </c>
      <c r="G47" s="39">
        <f t="shared" si="224"/>
        <v>43129</v>
      </c>
      <c r="H47" s="11">
        <v>1</v>
      </c>
      <c r="I47" s="12">
        <v>0</v>
      </c>
      <c r="J47" s="13">
        <f t="shared" si="225"/>
        <v>1</v>
      </c>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c r="FN47" s="9"/>
      <c r="FO47" s="9"/>
      <c r="FP47" s="9"/>
      <c r="FQ47" s="9"/>
      <c r="FR47" s="9"/>
      <c r="FS47" s="9"/>
      <c r="FT47" s="9"/>
      <c r="FU47" s="9"/>
      <c r="FV47" s="9"/>
      <c r="FW47" s="9"/>
      <c r="FX47" s="9"/>
      <c r="FY47" s="9"/>
      <c r="FZ47" s="9"/>
      <c r="GA47" s="9"/>
      <c r="GB47" s="9"/>
      <c r="GC47" s="9"/>
      <c r="GD47" s="9"/>
      <c r="GE47" s="9"/>
      <c r="GF47" s="9"/>
      <c r="GG47" s="9"/>
      <c r="GH47" s="9"/>
      <c r="GI47" s="9"/>
      <c r="GJ47" s="9"/>
      <c r="GK47" s="9"/>
      <c r="GL47" s="9"/>
      <c r="GM47" s="9"/>
      <c r="GN47" s="9"/>
      <c r="GO47" s="9"/>
      <c r="GP47" s="9"/>
      <c r="GQ47" s="9"/>
      <c r="GR47" s="9"/>
      <c r="GS47" s="9"/>
      <c r="GT47" s="9"/>
      <c r="GU47" s="9"/>
      <c r="GV47" s="9"/>
      <c r="GW47" s="9"/>
      <c r="GX47" s="9"/>
      <c r="GY47" s="9"/>
      <c r="GZ47" s="9"/>
      <c r="HA47" s="9"/>
      <c r="HB47" s="9"/>
      <c r="HC47" s="9"/>
      <c r="HD47" s="9"/>
      <c r="HE47" s="9"/>
      <c r="HF47" s="9"/>
      <c r="HG47" s="9"/>
      <c r="HH47" s="9"/>
      <c r="HI47" s="9"/>
      <c r="HJ47" s="9"/>
      <c r="HK47" s="9"/>
      <c r="HL47" s="9"/>
      <c r="HM47" s="9"/>
      <c r="HN47" s="9"/>
      <c r="HO47" s="9"/>
      <c r="HP47" s="9"/>
      <c r="HQ47" s="9"/>
      <c r="HR47" s="9"/>
      <c r="HS47" s="9"/>
      <c r="HT47" s="9"/>
      <c r="HU47" s="9"/>
      <c r="HV47" s="9"/>
      <c r="HW47" s="9"/>
      <c r="HX47" s="9"/>
      <c r="HY47" s="9"/>
      <c r="HZ47" s="9"/>
      <c r="IA47" s="9"/>
      <c r="IB47" s="9"/>
      <c r="IC47" s="9"/>
      <c r="ID47" s="9"/>
      <c r="IE47" s="9"/>
      <c r="IF47" s="9"/>
      <c r="IG47" s="9"/>
      <c r="IH47" s="9"/>
      <c r="II47" s="9"/>
      <c r="IJ47" s="9"/>
      <c r="IK47" s="9"/>
      <c r="IL47" s="9"/>
      <c r="IM47" s="9"/>
      <c r="IN47" s="9"/>
      <c r="IO47" s="9"/>
      <c r="IP47" s="9"/>
      <c r="IQ47" s="9"/>
      <c r="IR47" s="9"/>
      <c r="IS47" s="9"/>
      <c r="IT47" s="9"/>
      <c r="IU47" s="9"/>
      <c r="IV47" s="9"/>
      <c r="IW47" s="9"/>
      <c r="IX47" s="9"/>
      <c r="IY47" s="9"/>
      <c r="IZ47" s="9"/>
      <c r="JA47" s="9"/>
      <c r="JB47" s="9"/>
      <c r="JG47" s="88"/>
    </row>
    <row r="48" spans="1:267" s="10" customFormat="1" ht="13.8" outlineLevel="1" x14ac:dyDescent="0.25">
      <c r="A48" s="114"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6.1.1.1</v>
      </c>
      <c r="B48" s="94" cm="1">
        <f t="array" ref="B48">FindColor(A48)</f>
        <v>19</v>
      </c>
      <c r="C48" s="74" t="s">
        <v>38</v>
      </c>
      <c r="E48" s="57"/>
      <c r="F48" s="38">
        <v>43129</v>
      </c>
      <c r="G48" s="39">
        <f t="shared" si="224"/>
        <v>43129</v>
      </c>
      <c r="H48" s="11">
        <v>1</v>
      </c>
      <c r="I48" s="12">
        <v>0</v>
      </c>
      <c r="J48" s="13">
        <f t="shared" si="225"/>
        <v>1</v>
      </c>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c r="FN48" s="9"/>
      <c r="FO48" s="9"/>
      <c r="FP48" s="9"/>
      <c r="FQ48" s="9"/>
      <c r="FR48" s="9"/>
      <c r="FS48" s="9"/>
      <c r="FT48" s="9"/>
      <c r="FU48" s="9"/>
      <c r="FV48" s="9"/>
      <c r="FW48" s="9"/>
      <c r="FX48" s="9"/>
      <c r="FY48" s="9"/>
      <c r="FZ48" s="9"/>
      <c r="GA48" s="9"/>
      <c r="GB48" s="9"/>
      <c r="GC48" s="9"/>
      <c r="GD48" s="9"/>
      <c r="GE48" s="9"/>
      <c r="GF48" s="9"/>
      <c r="GG48" s="9"/>
      <c r="GH48" s="9"/>
      <c r="GI48" s="9"/>
      <c r="GJ48" s="9"/>
      <c r="GK48" s="9"/>
      <c r="GL48" s="9"/>
      <c r="GM48" s="9"/>
      <c r="GN48" s="9"/>
      <c r="GO48" s="9"/>
      <c r="GP48" s="9"/>
      <c r="GQ48" s="9"/>
      <c r="GR48" s="9"/>
      <c r="GS48" s="9"/>
      <c r="GT48" s="9"/>
      <c r="GU48" s="9"/>
      <c r="GV48" s="9"/>
      <c r="GW48" s="9"/>
      <c r="GX48" s="9"/>
      <c r="GY48" s="9"/>
      <c r="GZ48" s="9"/>
      <c r="HA48" s="9"/>
      <c r="HB48" s="9"/>
      <c r="HC48" s="9"/>
      <c r="HD48" s="9"/>
      <c r="HE48" s="9"/>
      <c r="HF48" s="9"/>
      <c r="HG48" s="9"/>
      <c r="HH48" s="9"/>
      <c r="HI48" s="9"/>
      <c r="HJ48" s="9"/>
      <c r="HK48" s="9"/>
      <c r="HL48" s="9"/>
      <c r="HM48" s="9"/>
      <c r="HN48" s="9"/>
      <c r="HO48" s="9"/>
      <c r="HP48" s="9"/>
      <c r="HQ48" s="9"/>
      <c r="HR48" s="9"/>
      <c r="HS48" s="9"/>
      <c r="HT48" s="9"/>
      <c r="HU48" s="9"/>
      <c r="HV48" s="9"/>
      <c r="HW48" s="9"/>
      <c r="HX48" s="9"/>
      <c r="HY48" s="9"/>
      <c r="HZ48" s="9"/>
      <c r="IA48" s="9"/>
      <c r="IB48" s="9"/>
      <c r="IC48" s="9"/>
      <c r="ID48" s="9"/>
      <c r="IE48" s="9"/>
      <c r="IF48" s="9"/>
      <c r="IG48" s="9"/>
      <c r="IH48" s="9"/>
      <c r="II48" s="9"/>
      <c r="IJ48" s="9"/>
      <c r="IK48" s="9"/>
      <c r="IL48" s="9"/>
      <c r="IM48" s="9"/>
      <c r="IN48" s="9"/>
      <c r="IO48" s="9"/>
      <c r="IP48" s="9"/>
      <c r="IQ48" s="9"/>
      <c r="IR48" s="9"/>
      <c r="IS48" s="9"/>
      <c r="IT48" s="9"/>
      <c r="IU48" s="9"/>
      <c r="IV48" s="9"/>
      <c r="IW48" s="9"/>
      <c r="IX48" s="9"/>
      <c r="IY48" s="9"/>
      <c r="IZ48" s="9"/>
      <c r="JA48" s="9"/>
      <c r="JB48" s="9"/>
      <c r="JG48" s="88"/>
    </row>
    <row r="49" spans="1:267" s="111" customFormat="1" ht="13.8" outlineLevel="1" x14ac:dyDescent="0.25">
      <c r="A49" s="116"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6.1.1.1.1</v>
      </c>
      <c r="B49" s="94" cm="1">
        <f t="array" ref="B49">FindColor(A49)</f>
        <v>40</v>
      </c>
      <c r="C49" s="110" t="s">
        <v>55</v>
      </c>
      <c r="E49" s="59"/>
      <c r="F49" s="60"/>
      <c r="G49" s="61"/>
      <c r="H49" s="62"/>
      <c r="I49" s="63"/>
      <c r="J49" s="64"/>
      <c r="K49" s="112"/>
      <c r="L49" s="112"/>
      <c r="M49" s="112"/>
      <c r="N49" s="112"/>
      <c r="O49" s="112"/>
      <c r="P49" s="112"/>
      <c r="Q49" s="112"/>
      <c r="R49" s="112"/>
      <c r="S49" s="112"/>
      <c r="T49" s="112"/>
      <c r="U49" s="112"/>
      <c r="V49" s="112"/>
      <c r="W49" s="112"/>
      <c r="X49" s="112"/>
      <c r="Y49" s="112"/>
      <c r="Z49" s="112"/>
      <c r="AA49" s="112"/>
      <c r="AB49" s="112"/>
      <c r="AC49" s="112"/>
      <c r="AD49" s="112"/>
      <c r="AE49" s="112"/>
      <c r="AF49" s="112"/>
      <c r="AG49" s="112"/>
      <c r="AH49" s="112"/>
      <c r="AI49" s="112"/>
      <c r="AJ49" s="112"/>
      <c r="AK49" s="112"/>
      <c r="AL49" s="112"/>
      <c r="AM49" s="112"/>
      <c r="AN49" s="112"/>
      <c r="AO49" s="112"/>
      <c r="AP49" s="112"/>
      <c r="AQ49" s="112"/>
      <c r="AR49" s="112"/>
      <c r="AS49" s="112"/>
      <c r="AT49" s="112"/>
      <c r="AU49" s="112"/>
      <c r="AV49" s="112"/>
      <c r="AW49" s="112"/>
      <c r="AX49" s="112"/>
      <c r="AY49" s="112"/>
      <c r="AZ49" s="112"/>
      <c r="BA49" s="112"/>
      <c r="BB49" s="112"/>
      <c r="BC49" s="112"/>
      <c r="BD49" s="112"/>
      <c r="BE49" s="112"/>
      <c r="BF49" s="112"/>
      <c r="BG49" s="112"/>
      <c r="BH49" s="112"/>
      <c r="BI49" s="112"/>
      <c r="BJ49" s="112"/>
      <c r="BK49" s="112"/>
      <c r="BL49" s="112"/>
      <c r="BM49" s="112"/>
      <c r="BN49" s="112"/>
      <c r="BO49" s="112"/>
      <c r="BP49" s="112"/>
      <c r="BQ49" s="112"/>
      <c r="BR49" s="112"/>
      <c r="BS49" s="112"/>
      <c r="BT49" s="112"/>
      <c r="BU49" s="112"/>
      <c r="BV49" s="112"/>
      <c r="BW49" s="112"/>
      <c r="BX49" s="112"/>
      <c r="BY49" s="112"/>
      <c r="BZ49" s="112"/>
      <c r="CA49" s="112"/>
      <c r="CB49" s="112"/>
      <c r="CC49" s="112"/>
      <c r="CD49" s="112"/>
      <c r="CE49" s="112"/>
      <c r="CF49" s="112"/>
      <c r="CG49" s="112"/>
      <c r="CH49" s="112"/>
      <c r="CI49" s="112"/>
      <c r="CJ49" s="112"/>
      <c r="CK49" s="112"/>
      <c r="CL49" s="112"/>
      <c r="CM49" s="112"/>
      <c r="CN49" s="112"/>
      <c r="CO49" s="112"/>
      <c r="CP49" s="112"/>
      <c r="CQ49" s="112"/>
      <c r="CR49" s="112"/>
      <c r="CS49" s="112"/>
      <c r="CT49" s="112"/>
      <c r="CU49" s="112"/>
      <c r="CV49" s="112"/>
      <c r="CW49" s="112"/>
      <c r="CX49" s="112"/>
      <c r="CY49" s="112"/>
      <c r="CZ49" s="112"/>
      <c r="DA49" s="112"/>
      <c r="DB49" s="112"/>
      <c r="DC49" s="112"/>
      <c r="DD49" s="112"/>
      <c r="DE49" s="112"/>
      <c r="DF49" s="112"/>
      <c r="DG49" s="112"/>
      <c r="DH49" s="112"/>
      <c r="DI49" s="112"/>
      <c r="DJ49" s="112"/>
      <c r="DK49" s="112"/>
      <c r="DL49" s="112"/>
      <c r="DM49" s="112"/>
      <c r="DN49" s="112"/>
      <c r="DO49" s="112"/>
      <c r="DP49" s="112"/>
      <c r="DQ49" s="112"/>
      <c r="DR49" s="112"/>
      <c r="DS49" s="112"/>
      <c r="DT49" s="112"/>
      <c r="DU49" s="112"/>
      <c r="DV49" s="112"/>
      <c r="DW49" s="112"/>
      <c r="DX49" s="112"/>
      <c r="DY49" s="112"/>
      <c r="DZ49" s="112"/>
      <c r="EA49" s="112"/>
      <c r="EB49" s="112"/>
      <c r="EC49" s="112"/>
      <c r="ED49" s="112"/>
      <c r="EE49" s="112"/>
      <c r="EF49" s="112"/>
      <c r="EG49" s="112"/>
      <c r="EH49" s="112"/>
      <c r="EI49" s="112"/>
      <c r="EJ49" s="112"/>
      <c r="EK49" s="112"/>
      <c r="EL49" s="112"/>
      <c r="EM49" s="112"/>
      <c r="EN49" s="112"/>
      <c r="EO49" s="112"/>
      <c r="EP49" s="112"/>
      <c r="EQ49" s="112"/>
      <c r="ER49" s="112"/>
      <c r="ES49" s="112"/>
      <c r="ET49" s="112"/>
      <c r="EU49" s="112"/>
      <c r="EV49" s="112"/>
      <c r="EW49" s="112"/>
      <c r="EX49" s="112"/>
      <c r="EY49" s="112"/>
      <c r="EZ49" s="112"/>
      <c r="FA49" s="112"/>
      <c r="FB49" s="112"/>
      <c r="FC49" s="112"/>
      <c r="FD49" s="112"/>
      <c r="FE49" s="112"/>
      <c r="FF49" s="112"/>
      <c r="FG49" s="112"/>
      <c r="FH49" s="112"/>
      <c r="FI49" s="112"/>
      <c r="FJ49" s="112"/>
      <c r="FK49" s="112"/>
      <c r="FL49" s="112"/>
      <c r="FM49" s="112"/>
      <c r="FN49" s="112"/>
      <c r="FO49" s="112"/>
      <c r="FP49" s="112"/>
      <c r="FQ49" s="112"/>
      <c r="FR49" s="112"/>
      <c r="FS49" s="112"/>
      <c r="FT49" s="112"/>
      <c r="FU49" s="112"/>
      <c r="FV49" s="112"/>
      <c r="FW49" s="112"/>
      <c r="FX49" s="112"/>
      <c r="FY49" s="112"/>
      <c r="FZ49" s="112"/>
      <c r="GA49" s="112"/>
      <c r="GB49" s="112"/>
      <c r="GC49" s="112"/>
      <c r="GD49" s="112"/>
      <c r="GE49" s="112"/>
      <c r="GF49" s="112"/>
      <c r="GG49" s="112"/>
      <c r="GH49" s="112"/>
      <c r="GI49" s="112"/>
      <c r="GJ49" s="112"/>
      <c r="GK49" s="112"/>
      <c r="GL49" s="112"/>
      <c r="GM49" s="112"/>
      <c r="GN49" s="112"/>
      <c r="GO49" s="112"/>
      <c r="GP49" s="112"/>
      <c r="GQ49" s="112"/>
      <c r="GR49" s="112"/>
      <c r="GS49" s="112"/>
      <c r="GT49" s="112"/>
      <c r="GU49" s="112"/>
      <c r="GV49" s="112"/>
      <c r="GW49" s="112"/>
      <c r="GX49" s="112"/>
      <c r="GY49" s="112"/>
      <c r="GZ49" s="112"/>
      <c r="HA49" s="112"/>
      <c r="HB49" s="112"/>
      <c r="HC49" s="112"/>
      <c r="HD49" s="112"/>
      <c r="HE49" s="112"/>
      <c r="HF49" s="112"/>
      <c r="HG49" s="112"/>
      <c r="HH49" s="112"/>
      <c r="HI49" s="112"/>
      <c r="HJ49" s="112"/>
      <c r="HK49" s="112"/>
      <c r="HL49" s="112"/>
      <c r="HM49" s="112"/>
      <c r="HN49" s="112"/>
      <c r="HO49" s="112"/>
      <c r="HP49" s="112"/>
      <c r="HQ49" s="112"/>
      <c r="HR49" s="112"/>
      <c r="HS49" s="112"/>
      <c r="HT49" s="112"/>
      <c r="HU49" s="112"/>
      <c r="HV49" s="112"/>
      <c r="HW49" s="112"/>
      <c r="HX49" s="112"/>
      <c r="HY49" s="112"/>
      <c r="HZ49" s="112"/>
      <c r="IA49" s="112"/>
      <c r="IB49" s="112"/>
      <c r="IC49" s="112"/>
      <c r="ID49" s="112"/>
      <c r="IE49" s="112"/>
      <c r="IF49" s="112"/>
      <c r="IG49" s="112"/>
      <c r="IH49" s="112"/>
      <c r="II49" s="112"/>
      <c r="IJ49" s="112"/>
      <c r="IK49" s="112"/>
      <c r="IL49" s="112"/>
      <c r="IM49" s="112"/>
      <c r="IN49" s="112"/>
      <c r="IO49" s="112"/>
      <c r="IP49" s="112"/>
      <c r="IQ49" s="112"/>
      <c r="IR49" s="112"/>
      <c r="IS49" s="112"/>
      <c r="IT49" s="112"/>
      <c r="IU49" s="112"/>
      <c r="IV49" s="112"/>
      <c r="IW49" s="112"/>
      <c r="IX49" s="112"/>
      <c r="IY49" s="112"/>
      <c r="IZ49" s="112"/>
      <c r="JA49" s="112"/>
      <c r="JB49" s="112"/>
      <c r="JG49" s="113"/>
    </row>
    <row r="50" spans="1:267" s="99" customFormat="1" ht="14.4" outlineLevel="1" thickBot="1" x14ac:dyDescent="0.3">
      <c r="A50" s="107"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6.1.1.1.2</v>
      </c>
      <c r="B50" s="115" cm="1">
        <f t="array" ref="B50">FindColor(A50)</f>
        <v>40</v>
      </c>
      <c r="C50" s="84" t="s">
        <v>55</v>
      </c>
      <c r="E50" s="100"/>
      <c r="F50" s="101"/>
      <c r="G50" s="102"/>
      <c r="H50" s="103"/>
      <c r="I50" s="104"/>
      <c r="J50" s="105"/>
      <c r="K50" s="84"/>
      <c r="L50" s="84"/>
      <c r="M50" s="84"/>
      <c r="N50" s="84"/>
      <c r="O50" s="84"/>
      <c r="P50" s="84"/>
      <c r="Q50" s="84"/>
      <c r="R50" s="84"/>
      <c r="S50" s="84"/>
      <c r="T50" s="84"/>
      <c r="U50" s="84"/>
      <c r="V50" s="84"/>
      <c r="W50" s="84"/>
      <c r="X50" s="84"/>
      <c r="Y50" s="84"/>
      <c r="Z50" s="84"/>
      <c r="AA50" s="84"/>
      <c r="AB50" s="84"/>
      <c r="AC50" s="84"/>
      <c r="AD50" s="84"/>
      <c r="AE50" s="84"/>
      <c r="AF50" s="84"/>
      <c r="AG50" s="84"/>
      <c r="AH50" s="84"/>
      <c r="AI50" s="84"/>
      <c r="AJ50" s="84"/>
      <c r="AK50" s="84"/>
      <c r="AL50" s="84"/>
      <c r="AM50" s="84"/>
      <c r="AN50" s="84"/>
      <c r="AO50" s="84"/>
      <c r="AP50" s="84"/>
      <c r="AQ50" s="84"/>
      <c r="AR50" s="84"/>
      <c r="AS50" s="84"/>
      <c r="AT50" s="84"/>
      <c r="AU50" s="84"/>
      <c r="AV50" s="84"/>
      <c r="AW50" s="84"/>
      <c r="AX50" s="84"/>
      <c r="AY50" s="84"/>
      <c r="AZ50" s="84"/>
      <c r="BA50" s="84"/>
      <c r="BB50" s="84"/>
      <c r="BC50" s="84"/>
      <c r="BD50" s="84"/>
      <c r="BE50" s="84"/>
      <c r="BF50" s="84"/>
      <c r="BG50" s="84"/>
      <c r="BH50" s="84"/>
      <c r="BI50" s="84"/>
      <c r="BJ50" s="84"/>
      <c r="BK50" s="84"/>
      <c r="BL50" s="84"/>
      <c r="BM50" s="84"/>
      <c r="BN50" s="84"/>
      <c r="BO50" s="84"/>
      <c r="BP50" s="84"/>
      <c r="BQ50" s="84"/>
      <c r="BR50" s="84"/>
      <c r="BS50" s="84"/>
      <c r="BT50" s="84"/>
      <c r="BU50" s="84"/>
      <c r="BV50" s="84"/>
      <c r="BW50" s="84"/>
      <c r="BX50" s="84"/>
      <c r="BY50" s="84"/>
      <c r="BZ50" s="84"/>
      <c r="CA50" s="84"/>
      <c r="CB50" s="84"/>
      <c r="CC50" s="84"/>
      <c r="CD50" s="84"/>
      <c r="CE50" s="84"/>
      <c r="CF50" s="84"/>
      <c r="CG50" s="84"/>
      <c r="CH50" s="84"/>
      <c r="CI50" s="84"/>
      <c r="CJ50" s="84"/>
      <c r="CK50" s="84"/>
      <c r="CL50" s="84"/>
      <c r="CM50" s="84"/>
      <c r="CN50" s="84"/>
      <c r="CO50" s="84"/>
      <c r="CP50" s="84"/>
      <c r="CQ50" s="84"/>
      <c r="CR50" s="84"/>
      <c r="CS50" s="84"/>
      <c r="CT50" s="84"/>
      <c r="CU50" s="84"/>
      <c r="CV50" s="84"/>
      <c r="CW50" s="84"/>
      <c r="CX50" s="84"/>
      <c r="CY50" s="84"/>
      <c r="CZ50" s="84"/>
      <c r="DA50" s="84"/>
      <c r="DB50" s="84"/>
      <c r="DC50" s="84"/>
      <c r="DD50" s="84"/>
      <c r="DE50" s="84"/>
      <c r="DF50" s="84"/>
      <c r="DG50" s="84"/>
      <c r="DH50" s="84"/>
      <c r="DI50" s="84"/>
      <c r="DJ50" s="84"/>
      <c r="DK50" s="84"/>
      <c r="DL50" s="84"/>
      <c r="DM50" s="84"/>
      <c r="DN50" s="84"/>
      <c r="DO50" s="84"/>
      <c r="DP50" s="84"/>
      <c r="DQ50" s="84"/>
      <c r="DR50" s="84"/>
      <c r="DS50" s="84"/>
      <c r="DT50" s="84"/>
      <c r="DU50" s="84"/>
      <c r="DV50" s="84"/>
      <c r="DW50" s="84"/>
      <c r="DX50" s="84"/>
      <c r="DY50" s="84"/>
      <c r="DZ50" s="84"/>
      <c r="EA50" s="84"/>
      <c r="EB50" s="84"/>
      <c r="EC50" s="84"/>
      <c r="ED50" s="84"/>
      <c r="EE50" s="84"/>
      <c r="EF50" s="84"/>
      <c r="EG50" s="84"/>
      <c r="EH50" s="84"/>
      <c r="EI50" s="84"/>
      <c r="EJ50" s="84"/>
      <c r="EK50" s="84"/>
      <c r="EL50" s="84"/>
      <c r="EM50" s="84"/>
      <c r="EN50" s="84"/>
      <c r="EO50" s="84"/>
      <c r="EP50" s="84"/>
      <c r="EQ50" s="84"/>
      <c r="ER50" s="84"/>
      <c r="ES50" s="84"/>
      <c r="ET50" s="84"/>
      <c r="EU50" s="84"/>
      <c r="EV50" s="84"/>
      <c r="EW50" s="84"/>
      <c r="EX50" s="84"/>
      <c r="EY50" s="84"/>
      <c r="EZ50" s="84"/>
      <c r="FA50" s="84"/>
      <c r="FB50" s="84"/>
      <c r="FC50" s="84"/>
      <c r="FD50" s="84"/>
      <c r="FE50" s="84"/>
      <c r="FF50" s="84"/>
      <c r="FG50" s="84"/>
      <c r="FH50" s="84"/>
      <c r="FI50" s="84"/>
      <c r="FJ50" s="84"/>
      <c r="FK50" s="84"/>
      <c r="FL50" s="84"/>
      <c r="FM50" s="84"/>
      <c r="FN50" s="84"/>
      <c r="FO50" s="84"/>
      <c r="FP50" s="84"/>
      <c r="FQ50" s="84"/>
      <c r="FR50" s="84"/>
      <c r="FS50" s="84"/>
      <c r="FT50" s="84"/>
      <c r="FU50" s="84"/>
      <c r="FV50" s="84"/>
      <c r="FW50" s="84"/>
      <c r="FX50" s="84"/>
      <c r="FY50" s="84"/>
      <c r="FZ50" s="84"/>
      <c r="GA50" s="84"/>
      <c r="GB50" s="84"/>
      <c r="GC50" s="84"/>
      <c r="GD50" s="84"/>
      <c r="GE50" s="84"/>
      <c r="GF50" s="84"/>
      <c r="GG50" s="84"/>
      <c r="GH50" s="84"/>
      <c r="GI50" s="84"/>
      <c r="GJ50" s="84"/>
      <c r="GK50" s="84"/>
      <c r="GL50" s="84"/>
      <c r="GM50" s="84"/>
      <c r="GN50" s="84"/>
      <c r="GO50" s="84"/>
      <c r="GP50" s="84"/>
      <c r="GQ50" s="84"/>
      <c r="GR50" s="84"/>
      <c r="GS50" s="84"/>
      <c r="GT50" s="84"/>
      <c r="GU50" s="84"/>
      <c r="GV50" s="84"/>
      <c r="GW50" s="84"/>
      <c r="GX50" s="84"/>
      <c r="GY50" s="84"/>
      <c r="GZ50" s="84"/>
      <c r="HA50" s="84"/>
      <c r="HB50" s="84"/>
      <c r="HC50" s="84"/>
      <c r="HD50" s="84"/>
      <c r="HE50" s="84"/>
      <c r="HF50" s="84"/>
      <c r="HG50" s="84"/>
      <c r="HH50" s="84"/>
      <c r="HI50" s="84"/>
      <c r="HJ50" s="84"/>
      <c r="HK50" s="84"/>
      <c r="HL50" s="84"/>
      <c r="HM50" s="84"/>
      <c r="HN50" s="84"/>
      <c r="HO50" s="84"/>
      <c r="HP50" s="84"/>
      <c r="HQ50" s="84"/>
      <c r="HR50" s="84"/>
      <c r="HS50" s="84"/>
      <c r="HT50" s="84"/>
      <c r="HU50" s="84"/>
      <c r="HV50" s="84"/>
      <c r="HW50" s="84"/>
      <c r="HX50" s="84"/>
      <c r="HY50" s="84"/>
      <c r="HZ50" s="84"/>
      <c r="IA50" s="84"/>
      <c r="IB50" s="84"/>
      <c r="IC50" s="84"/>
      <c r="ID50" s="84"/>
      <c r="IE50" s="84"/>
      <c r="IF50" s="84"/>
      <c r="IG50" s="84"/>
      <c r="IH50" s="84"/>
      <c r="II50" s="84"/>
      <c r="IJ50" s="84"/>
      <c r="IK50" s="84"/>
      <c r="IL50" s="84"/>
      <c r="IM50" s="84"/>
      <c r="IN50" s="84"/>
      <c r="IO50" s="84"/>
      <c r="IP50" s="84"/>
      <c r="IQ50" s="84"/>
      <c r="IR50" s="84"/>
      <c r="IS50" s="84"/>
      <c r="IT50" s="84"/>
      <c r="IU50" s="84"/>
      <c r="IV50" s="84"/>
      <c r="IW50" s="84"/>
      <c r="IX50" s="84"/>
      <c r="IY50" s="84"/>
      <c r="IZ50" s="84"/>
      <c r="JA50" s="84"/>
      <c r="JB50" s="84"/>
      <c r="JG50" s="106"/>
    </row>
    <row r="51" spans="1:267" s="4" customFormat="1" ht="14.4" thickTop="1" x14ac:dyDescent="0.25">
      <c r="A51" s="3" t="str">
        <f>IF(ISERROR(VALUE(SUBSTITUTE(prevWBS,".",""))),"1",IF(ISERROR(FIND("`",SUBSTITUTE(prevWBS,".","`",1))),TEXT(VALUE(prevWBS)+1,"#"),TEXT(VALUE(LEFT(prevWBS,FIND("`",SUBSTITUTE(prevWBS,".","`",1))-1))+1,"#")))</f>
        <v>7</v>
      </c>
      <c r="B51" s="94" cm="1">
        <f t="array" ref="B51">FindColor(A51)</f>
        <v>15</v>
      </c>
      <c r="C51" s="67" t="s">
        <v>2</v>
      </c>
      <c r="E51" s="5"/>
      <c r="F51" s="40"/>
      <c r="G51" s="40" t="str">
        <f t="shared" si="224"/>
        <v xml:space="preserve"> - </v>
      </c>
      <c r="H51" s="6"/>
      <c r="I51" s="7"/>
      <c r="J51" s="8" t="str">
        <f t="shared" si="225"/>
        <v xml:space="preserve"> - </v>
      </c>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c r="BF51" s="45"/>
      <c r="BG51" s="45"/>
      <c r="BH51" s="45"/>
      <c r="BI51" s="45"/>
      <c r="BJ51" s="45"/>
      <c r="BK51" s="45"/>
      <c r="BL51" s="45"/>
      <c r="BM51" s="45"/>
      <c r="BN51" s="45"/>
      <c r="BO51" s="45"/>
      <c r="BP51" s="45"/>
      <c r="BQ51" s="45"/>
      <c r="BR51" s="45"/>
      <c r="BS51" s="45"/>
      <c r="BT51" s="45"/>
      <c r="BU51" s="45"/>
      <c r="BV51" s="45"/>
      <c r="BW51" s="45"/>
      <c r="BX51" s="45"/>
      <c r="BY51" s="45"/>
      <c r="BZ51" s="45"/>
      <c r="CA51" s="45"/>
      <c r="CB51" s="45"/>
      <c r="CC51" s="45"/>
      <c r="CD51" s="45"/>
      <c r="CE51" s="45"/>
      <c r="CF51" s="45"/>
      <c r="CG51" s="45"/>
      <c r="CH51" s="45"/>
      <c r="CI51" s="45"/>
      <c r="CJ51" s="45"/>
      <c r="CK51" s="45"/>
      <c r="CL51" s="45"/>
      <c r="CM51" s="45"/>
      <c r="CN51" s="45"/>
      <c r="CO51" s="45"/>
      <c r="CP51" s="45"/>
      <c r="CQ51" s="45"/>
      <c r="CR51" s="45"/>
      <c r="CS51" s="45"/>
      <c r="CT51" s="45"/>
      <c r="CU51" s="45"/>
      <c r="CV51" s="45"/>
      <c r="CW51" s="45"/>
      <c r="CX51" s="45"/>
      <c r="CY51" s="45"/>
      <c r="CZ51" s="45"/>
      <c r="DA51" s="45"/>
      <c r="DB51" s="45"/>
      <c r="DC51" s="45"/>
      <c r="DD51" s="45"/>
      <c r="DE51" s="45"/>
      <c r="DF51" s="45"/>
      <c r="DG51" s="45"/>
      <c r="DH51" s="45"/>
      <c r="DI51" s="45"/>
      <c r="DJ51" s="45"/>
      <c r="DK51" s="45"/>
      <c r="DL51" s="45"/>
      <c r="DM51" s="45"/>
      <c r="DN51" s="45"/>
      <c r="DO51" s="45"/>
      <c r="DP51" s="45"/>
      <c r="DQ51" s="45"/>
      <c r="DR51" s="45"/>
      <c r="DS51" s="45"/>
      <c r="DT51" s="45"/>
      <c r="DU51" s="45"/>
      <c r="DV51" s="45"/>
      <c r="DW51" s="45"/>
      <c r="DX51" s="45"/>
      <c r="DY51" s="45"/>
      <c r="DZ51" s="45"/>
      <c r="EA51" s="45"/>
      <c r="EB51" s="45"/>
      <c r="EC51" s="45"/>
      <c r="ED51" s="45"/>
      <c r="EE51" s="45"/>
      <c r="EF51" s="45"/>
      <c r="EG51" s="45"/>
      <c r="EH51" s="45"/>
      <c r="EI51" s="45"/>
      <c r="EJ51" s="45"/>
      <c r="EK51" s="45"/>
      <c r="EL51" s="45"/>
      <c r="EM51" s="45"/>
      <c r="EN51" s="45"/>
      <c r="EO51" s="45"/>
      <c r="EP51" s="45"/>
      <c r="EQ51" s="45"/>
      <c r="ER51" s="45"/>
      <c r="ES51" s="45"/>
      <c r="ET51" s="45"/>
      <c r="EU51" s="45"/>
      <c r="EV51" s="45"/>
      <c r="EW51" s="45"/>
      <c r="EX51" s="45"/>
      <c r="EY51" s="45"/>
      <c r="EZ51" s="45"/>
      <c r="FA51" s="45"/>
      <c r="FB51" s="45"/>
      <c r="FC51" s="45"/>
      <c r="FD51" s="45"/>
      <c r="FE51" s="45"/>
      <c r="FF51" s="45"/>
      <c r="FG51" s="45"/>
      <c r="FH51" s="45"/>
      <c r="FI51" s="45"/>
      <c r="FJ51" s="45"/>
      <c r="FK51" s="45"/>
      <c r="FL51" s="45"/>
      <c r="FM51" s="45"/>
      <c r="FN51" s="45"/>
      <c r="FO51" s="45"/>
      <c r="FP51" s="45"/>
      <c r="FQ51" s="45"/>
      <c r="FR51" s="45"/>
      <c r="FS51" s="45"/>
      <c r="FT51" s="45"/>
      <c r="FU51" s="45"/>
      <c r="FV51" s="45"/>
      <c r="FW51" s="45"/>
      <c r="FX51" s="45"/>
      <c r="FY51" s="45"/>
      <c r="FZ51" s="45"/>
      <c r="GA51" s="45"/>
      <c r="GB51" s="45"/>
      <c r="GC51" s="45"/>
      <c r="GD51" s="45"/>
      <c r="GE51" s="45"/>
      <c r="GF51" s="45"/>
      <c r="GG51" s="45"/>
      <c r="GH51" s="45"/>
      <c r="GI51" s="45"/>
      <c r="GJ51" s="45"/>
      <c r="GK51" s="45"/>
      <c r="GL51" s="45"/>
      <c r="GM51" s="45"/>
      <c r="GN51" s="45"/>
      <c r="GO51" s="45"/>
      <c r="GP51" s="45"/>
      <c r="GQ51" s="45"/>
      <c r="GR51" s="45"/>
      <c r="GS51" s="45"/>
      <c r="GT51" s="45"/>
      <c r="GU51" s="45"/>
      <c r="GV51" s="45"/>
      <c r="GW51" s="45"/>
      <c r="GX51" s="45"/>
      <c r="GY51" s="45"/>
      <c r="GZ51" s="45"/>
      <c r="HA51" s="45"/>
      <c r="HB51" s="45"/>
      <c r="HC51" s="45"/>
      <c r="HD51" s="45"/>
      <c r="HE51" s="45"/>
      <c r="HF51" s="45"/>
      <c r="HG51" s="45"/>
      <c r="HH51" s="45"/>
      <c r="HI51" s="45"/>
      <c r="HJ51" s="45"/>
      <c r="HK51" s="45"/>
      <c r="HL51" s="45"/>
      <c r="HM51" s="45"/>
      <c r="HN51" s="45"/>
      <c r="HO51" s="45"/>
      <c r="HP51" s="45"/>
      <c r="HQ51" s="45"/>
      <c r="HR51" s="45"/>
      <c r="HS51" s="45"/>
      <c r="HT51" s="45"/>
      <c r="HU51" s="45"/>
      <c r="HV51" s="45"/>
      <c r="HW51" s="45"/>
      <c r="HX51" s="45"/>
      <c r="HY51" s="45"/>
      <c r="HZ51" s="45"/>
      <c r="IA51" s="45"/>
      <c r="IB51" s="45"/>
      <c r="IC51" s="45"/>
      <c r="ID51" s="45"/>
      <c r="IE51" s="45"/>
      <c r="IF51" s="45"/>
      <c r="IG51" s="45"/>
      <c r="IH51" s="45"/>
      <c r="II51" s="45"/>
      <c r="IJ51" s="45"/>
      <c r="IK51" s="45"/>
      <c r="IL51" s="45"/>
      <c r="IM51" s="45"/>
      <c r="IN51" s="45"/>
      <c r="IO51" s="45"/>
      <c r="IP51" s="45"/>
      <c r="IQ51" s="45"/>
      <c r="IR51" s="45"/>
      <c r="IS51" s="45"/>
      <c r="IT51" s="45"/>
      <c r="IU51" s="45"/>
      <c r="IV51" s="45"/>
      <c r="IW51" s="45"/>
      <c r="IX51" s="45"/>
      <c r="IY51" s="45"/>
      <c r="IZ51" s="45"/>
      <c r="JA51" s="45"/>
      <c r="JB51" s="45"/>
      <c r="JG51" s="87"/>
    </row>
    <row r="52" spans="1:267" s="10" customFormat="1" ht="13.8" x14ac:dyDescent="0.25">
      <c r="A52" s="9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v>
      </c>
      <c r="B52" s="94" cm="1">
        <f t="array" ref="B52">FindColor(A52)</f>
        <v>35</v>
      </c>
      <c r="C52" s="56" t="s">
        <v>3</v>
      </c>
      <c r="E52" s="57"/>
      <c r="F52" s="38">
        <v>43129</v>
      </c>
      <c r="G52" s="39">
        <f t="shared" si="224"/>
        <v>43129</v>
      </c>
      <c r="H52" s="11">
        <v>1</v>
      </c>
      <c r="I52" s="12">
        <v>0</v>
      </c>
      <c r="J52" s="13">
        <f t="shared" si="225"/>
        <v>1</v>
      </c>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c r="FN52" s="9"/>
      <c r="FO52" s="9"/>
      <c r="FP52" s="9"/>
      <c r="FQ52" s="9"/>
      <c r="FR52" s="9"/>
      <c r="FS52" s="9"/>
      <c r="FT52" s="9"/>
      <c r="FU52" s="9"/>
      <c r="FV52" s="9"/>
      <c r="FW52" s="9"/>
      <c r="FX52" s="9"/>
      <c r="FY52" s="9"/>
      <c r="FZ52" s="9"/>
      <c r="GA52" s="9"/>
      <c r="GB52" s="9"/>
      <c r="GC52" s="9"/>
      <c r="GD52" s="9"/>
      <c r="GE52" s="9"/>
      <c r="GF52" s="9"/>
      <c r="GG52" s="9"/>
      <c r="GH52" s="9"/>
      <c r="GI52" s="9"/>
      <c r="GJ52" s="9"/>
      <c r="GK52" s="9"/>
      <c r="GL52" s="9"/>
      <c r="GM52" s="9"/>
      <c r="GN52" s="9"/>
      <c r="GO52" s="9"/>
      <c r="GP52" s="9"/>
      <c r="GQ52" s="9"/>
      <c r="GR52" s="9"/>
      <c r="GS52" s="9"/>
      <c r="GT52" s="9"/>
      <c r="GU52" s="9"/>
      <c r="GV52" s="9"/>
      <c r="GW52" s="9"/>
      <c r="GX52" s="9"/>
      <c r="GY52" s="9"/>
      <c r="GZ52" s="9"/>
      <c r="HA52" s="9"/>
      <c r="HB52" s="9"/>
      <c r="HC52" s="9"/>
      <c r="HD52" s="9"/>
      <c r="HE52" s="9"/>
      <c r="HF52" s="9"/>
      <c r="HG52" s="9"/>
      <c r="HH52" s="9"/>
      <c r="HI52" s="9"/>
      <c r="HJ52" s="9"/>
      <c r="HK52" s="9"/>
      <c r="HL52" s="9"/>
      <c r="HM52" s="9"/>
      <c r="HN52" s="9"/>
      <c r="HO52" s="9"/>
      <c r="HP52" s="9"/>
      <c r="HQ52" s="9"/>
      <c r="HR52" s="9"/>
      <c r="HS52" s="9"/>
      <c r="HT52" s="9"/>
      <c r="HU52" s="9"/>
      <c r="HV52" s="9"/>
      <c r="HW52" s="9"/>
      <c r="HX52" s="9"/>
      <c r="HY52" s="9"/>
      <c r="HZ52" s="9"/>
      <c r="IA52" s="9"/>
      <c r="IB52" s="9"/>
      <c r="IC52" s="9"/>
      <c r="ID52" s="9"/>
      <c r="IE52" s="9"/>
      <c r="IF52" s="9"/>
      <c r="IG52" s="9"/>
      <c r="IH52" s="9"/>
      <c r="II52" s="9"/>
      <c r="IJ52" s="9"/>
      <c r="IK52" s="9"/>
      <c r="IL52" s="9"/>
      <c r="IM52" s="9"/>
      <c r="IN52" s="9"/>
      <c r="IO52" s="9"/>
      <c r="IP52" s="9"/>
      <c r="IQ52" s="9"/>
      <c r="IR52" s="9"/>
      <c r="IS52" s="9"/>
      <c r="IT52" s="9"/>
      <c r="IU52" s="9"/>
      <c r="IV52" s="9"/>
      <c r="IW52" s="9"/>
      <c r="IX52" s="9"/>
      <c r="IY52" s="9"/>
      <c r="IZ52" s="9"/>
      <c r="JA52" s="9"/>
      <c r="JB52" s="9"/>
      <c r="JG52" s="88"/>
    </row>
    <row r="53" spans="1:267" s="4" customFormat="1" ht="13.8" x14ac:dyDescent="0.25">
      <c r="A53" s="3" t="str">
        <f>IF(ISERROR(VALUE(SUBSTITUTE(prevWBS,".",""))),"1",IF(ISERROR(FIND("`",SUBSTITUTE(prevWBS,".","`",1))),TEXT(VALUE(prevWBS)+1,"#"),TEXT(VALUE(LEFT(prevWBS,FIND("`",SUBSTITUTE(prevWBS,".","`",1))-1))+1,"#")))</f>
        <v>8</v>
      </c>
      <c r="B53" s="94" cm="1">
        <f t="array" ref="B53">FindColor(A53)</f>
        <v>15</v>
      </c>
      <c r="C53" s="67" t="s">
        <v>2</v>
      </c>
      <c r="E53" s="5"/>
      <c r="F53" s="40"/>
      <c r="G53" s="40" t="str">
        <f t="shared" si="224"/>
        <v xml:space="preserve"> - </v>
      </c>
      <c r="H53" s="6"/>
      <c r="I53" s="7"/>
      <c r="J53" s="8" t="str">
        <f t="shared" si="225"/>
        <v xml:space="preserve"> - </v>
      </c>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c r="BF53" s="45"/>
      <c r="BG53" s="45"/>
      <c r="BH53" s="45"/>
      <c r="BI53" s="45"/>
      <c r="BJ53" s="45"/>
      <c r="BK53" s="45"/>
      <c r="BL53" s="45"/>
      <c r="BM53" s="45"/>
      <c r="BN53" s="45"/>
      <c r="BO53" s="45"/>
      <c r="BP53" s="45"/>
      <c r="BQ53" s="45"/>
      <c r="BR53" s="45"/>
      <c r="BS53" s="45"/>
      <c r="BT53" s="45"/>
      <c r="BU53" s="45"/>
      <c r="BV53" s="45"/>
      <c r="BW53" s="45"/>
      <c r="BX53" s="45"/>
      <c r="BY53" s="45"/>
      <c r="BZ53" s="45"/>
      <c r="CA53" s="45"/>
      <c r="CB53" s="45"/>
      <c r="CC53" s="45"/>
      <c r="CD53" s="45"/>
      <c r="CE53" s="45"/>
      <c r="CF53" s="45"/>
      <c r="CG53" s="45"/>
      <c r="CH53" s="45"/>
      <c r="CI53" s="45"/>
      <c r="CJ53" s="45"/>
      <c r="CK53" s="45"/>
      <c r="CL53" s="45"/>
      <c r="CM53" s="45"/>
      <c r="CN53" s="45"/>
      <c r="CO53" s="45"/>
      <c r="CP53" s="45"/>
      <c r="CQ53" s="45"/>
      <c r="CR53" s="45"/>
      <c r="CS53" s="45"/>
      <c r="CT53" s="45"/>
      <c r="CU53" s="45"/>
      <c r="CV53" s="45"/>
      <c r="CW53" s="45"/>
      <c r="CX53" s="45"/>
      <c r="CY53" s="45"/>
      <c r="CZ53" s="45"/>
      <c r="DA53" s="45"/>
      <c r="DB53" s="45"/>
      <c r="DC53" s="45"/>
      <c r="DD53" s="45"/>
      <c r="DE53" s="45"/>
      <c r="DF53" s="45"/>
      <c r="DG53" s="45"/>
      <c r="DH53" s="45"/>
      <c r="DI53" s="45"/>
      <c r="DJ53" s="45"/>
      <c r="DK53" s="45"/>
      <c r="DL53" s="45"/>
      <c r="DM53" s="45"/>
      <c r="DN53" s="45"/>
      <c r="DO53" s="45"/>
      <c r="DP53" s="45"/>
      <c r="DQ53" s="45"/>
      <c r="DR53" s="45"/>
      <c r="DS53" s="45"/>
      <c r="DT53" s="45"/>
      <c r="DU53" s="45"/>
      <c r="DV53" s="45"/>
      <c r="DW53" s="45"/>
      <c r="DX53" s="45"/>
      <c r="DY53" s="45"/>
      <c r="DZ53" s="45"/>
      <c r="EA53" s="45"/>
      <c r="EB53" s="45"/>
      <c r="EC53" s="45"/>
      <c r="ED53" s="45"/>
      <c r="EE53" s="45"/>
      <c r="EF53" s="45"/>
      <c r="EG53" s="45"/>
      <c r="EH53" s="45"/>
      <c r="EI53" s="45"/>
      <c r="EJ53" s="45"/>
      <c r="EK53" s="45"/>
      <c r="EL53" s="45"/>
      <c r="EM53" s="45"/>
      <c r="EN53" s="45"/>
      <c r="EO53" s="45"/>
      <c r="EP53" s="45"/>
      <c r="EQ53" s="45"/>
      <c r="ER53" s="45"/>
      <c r="ES53" s="45"/>
      <c r="ET53" s="45"/>
      <c r="EU53" s="45"/>
      <c r="EV53" s="45"/>
      <c r="EW53" s="45"/>
      <c r="EX53" s="45"/>
      <c r="EY53" s="45"/>
      <c r="EZ53" s="45"/>
      <c r="FA53" s="45"/>
      <c r="FB53" s="45"/>
      <c r="FC53" s="45"/>
      <c r="FD53" s="45"/>
      <c r="FE53" s="45"/>
      <c r="FF53" s="45"/>
      <c r="FG53" s="45"/>
      <c r="FH53" s="45"/>
      <c r="FI53" s="45"/>
      <c r="FJ53" s="45"/>
      <c r="FK53" s="45"/>
      <c r="FL53" s="45"/>
      <c r="FM53" s="45"/>
      <c r="FN53" s="45"/>
      <c r="FO53" s="45"/>
      <c r="FP53" s="45"/>
      <c r="FQ53" s="45"/>
      <c r="FR53" s="45"/>
      <c r="FS53" s="45"/>
      <c r="FT53" s="45"/>
      <c r="FU53" s="45"/>
      <c r="FV53" s="45"/>
      <c r="FW53" s="45"/>
      <c r="FX53" s="45"/>
      <c r="FY53" s="45"/>
      <c r="FZ53" s="45"/>
      <c r="GA53" s="45"/>
      <c r="GB53" s="45"/>
      <c r="GC53" s="45"/>
      <c r="GD53" s="45"/>
      <c r="GE53" s="45"/>
      <c r="GF53" s="45"/>
      <c r="GG53" s="45"/>
      <c r="GH53" s="45"/>
      <c r="GI53" s="45"/>
      <c r="GJ53" s="45"/>
      <c r="GK53" s="45"/>
      <c r="GL53" s="45"/>
      <c r="GM53" s="45"/>
      <c r="GN53" s="45"/>
      <c r="GO53" s="45"/>
      <c r="GP53" s="45"/>
      <c r="GQ53" s="45"/>
      <c r="GR53" s="45"/>
      <c r="GS53" s="45"/>
      <c r="GT53" s="45"/>
      <c r="GU53" s="45"/>
      <c r="GV53" s="45"/>
      <c r="GW53" s="45"/>
      <c r="GX53" s="45"/>
      <c r="GY53" s="45"/>
      <c r="GZ53" s="45"/>
      <c r="HA53" s="45"/>
      <c r="HB53" s="45"/>
      <c r="HC53" s="45"/>
      <c r="HD53" s="45"/>
      <c r="HE53" s="45"/>
      <c r="HF53" s="45"/>
      <c r="HG53" s="45"/>
      <c r="HH53" s="45"/>
      <c r="HI53" s="45"/>
      <c r="HJ53" s="45"/>
      <c r="HK53" s="45"/>
      <c r="HL53" s="45"/>
      <c r="HM53" s="45"/>
      <c r="HN53" s="45"/>
      <c r="HO53" s="45"/>
      <c r="HP53" s="45"/>
      <c r="HQ53" s="45"/>
      <c r="HR53" s="45"/>
      <c r="HS53" s="45"/>
      <c r="HT53" s="45"/>
      <c r="HU53" s="45"/>
      <c r="HV53" s="45"/>
      <c r="HW53" s="45"/>
      <c r="HX53" s="45"/>
      <c r="HY53" s="45"/>
      <c r="HZ53" s="45"/>
      <c r="IA53" s="45"/>
      <c r="IB53" s="45"/>
      <c r="IC53" s="45"/>
      <c r="ID53" s="45"/>
      <c r="IE53" s="45"/>
      <c r="IF53" s="45"/>
      <c r="IG53" s="45"/>
      <c r="IH53" s="45"/>
      <c r="II53" s="45"/>
      <c r="IJ53" s="45"/>
      <c r="IK53" s="45"/>
      <c r="IL53" s="45"/>
      <c r="IM53" s="45"/>
      <c r="IN53" s="45"/>
      <c r="IO53" s="45"/>
      <c r="IP53" s="45"/>
      <c r="IQ53" s="45"/>
      <c r="IR53" s="45"/>
      <c r="IS53" s="45"/>
      <c r="IT53" s="45"/>
      <c r="IU53" s="45"/>
      <c r="IV53" s="45"/>
      <c r="IW53" s="45"/>
      <c r="IX53" s="45"/>
      <c r="IY53" s="45"/>
      <c r="IZ53" s="45"/>
      <c r="JA53" s="45"/>
      <c r="JB53" s="45"/>
      <c r="JG53" s="87"/>
    </row>
    <row r="54" spans="1:267" s="10" customFormat="1" ht="13.8" x14ac:dyDescent="0.25">
      <c r="A54" s="9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v>
      </c>
      <c r="B54" s="94" cm="1">
        <f t="array" ref="B54">FindColor(A54)</f>
        <v>35</v>
      </c>
      <c r="C54" s="56" t="s">
        <v>3</v>
      </c>
      <c r="E54" s="57"/>
      <c r="F54" s="38">
        <v>43129</v>
      </c>
      <c r="G54" s="39">
        <f t="shared" si="224"/>
        <v>43129</v>
      </c>
      <c r="H54" s="11">
        <v>1</v>
      </c>
      <c r="I54" s="12">
        <v>0</v>
      </c>
      <c r="J54" s="13">
        <f t="shared" si="225"/>
        <v>1</v>
      </c>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c r="FN54" s="9"/>
      <c r="FO54" s="9"/>
      <c r="FP54" s="9"/>
      <c r="FQ54" s="9"/>
      <c r="FR54" s="9"/>
      <c r="FS54" s="9"/>
      <c r="FT54" s="9"/>
      <c r="FU54" s="9"/>
      <c r="FV54" s="9"/>
      <c r="FW54" s="9"/>
      <c r="FX54" s="9"/>
      <c r="FY54" s="9"/>
      <c r="FZ54" s="9"/>
      <c r="GA54" s="9"/>
      <c r="GB54" s="9"/>
      <c r="GC54" s="9"/>
      <c r="GD54" s="9"/>
      <c r="GE54" s="9"/>
      <c r="GF54" s="9"/>
      <c r="GG54" s="9"/>
      <c r="GH54" s="9"/>
      <c r="GI54" s="9"/>
      <c r="GJ54" s="9"/>
      <c r="GK54" s="9"/>
      <c r="GL54" s="9"/>
      <c r="GM54" s="9"/>
      <c r="GN54" s="9"/>
      <c r="GO54" s="9"/>
      <c r="GP54" s="9"/>
      <c r="GQ54" s="9"/>
      <c r="GR54" s="9"/>
      <c r="GS54" s="9"/>
      <c r="GT54" s="9"/>
      <c r="GU54" s="9"/>
      <c r="GV54" s="9"/>
      <c r="GW54" s="9"/>
      <c r="GX54" s="9"/>
      <c r="GY54" s="9"/>
      <c r="GZ54" s="9"/>
      <c r="HA54" s="9"/>
      <c r="HB54" s="9"/>
      <c r="HC54" s="9"/>
      <c r="HD54" s="9"/>
      <c r="HE54" s="9"/>
      <c r="HF54" s="9"/>
      <c r="HG54" s="9"/>
      <c r="HH54" s="9"/>
      <c r="HI54" s="9"/>
      <c r="HJ54" s="9"/>
      <c r="HK54" s="9"/>
      <c r="HL54" s="9"/>
      <c r="HM54" s="9"/>
      <c r="HN54" s="9"/>
      <c r="HO54" s="9"/>
      <c r="HP54" s="9"/>
      <c r="HQ54" s="9"/>
      <c r="HR54" s="9"/>
      <c r="HS54" s="9"/>
      <c r="HT54" s="9"/>
      <c r="HU54" s="9"/>
      <c r="HV54" s="9"/>
      <c r="HW54" s="9"/>
      <c r="HX54" s="9"/>
      <c r="HY54" s="9"/>
      <c r="HZ54" s="9"/>
      <c r="IA54" s="9"/>
      <c r="IB54" s="9"/>
      <c r="IC54" s="9"/>
      <c r="ID54" s="9"/>
      <c r="IE54" s="9"/>
      <c r="IF54" s="9"/>
      <c r="IG54" s="9"/>
      <c r="IH54" s="9"/>
      <c r="II54" s="9"/>
      <c r="IJ54" s="9"/>
      <c r="IK54" s="9"/>
      <c r="IL54" s="9"/>
      <c r="IM54" s="9"/>
      <c r="IN54" s="9"/>
      <c r="IO54" s="9"/>
      <c r="IP54" s="9"/>
      <c r="IQ54" s="9"/>
      <c r="IR54" s="9"/>
      <c r="IS54" s="9"/>
      <c r="IT54" s="9"/>
      <c r="IU54" s="9"/>
      <c r="IV54" s="9"/>
      <c r="IW54" s="9"/>
      <c r="IX54" s="9"/>
      <c r="IY54" s="9"/>
      <c r="IZ54" s="9"/>
      <c r="JA54" s="9"/>
      <c r="JB54" s="9"/>
      <c r="JG54" s="88"/>
    </row>
    <row r="55" spans="1:267" s="4" customFormat="1" ht="13.8" x14ac:dyDescent="0.25">
      <c r="A55" s="3" t="str">
        <f>IF(ISERROR(VALUE(SUBSTITUTE(prevWBS,".",""))),"1",IF(ISERROR(FIND("`",SUBSTITUTE(prevWBS,".","`",1))),TEXT(VALUE(prevWBS)+1,"#"),TEXT(VALUE(LEFT(prevWBS,FIND("`",SUBSTITUTE(prevWBS,".","`",1))-1))+1,"#")))</f>
        <v>9</v>
      </c>
      <c r="B55" s="94" cm="1">
        <f t="array" ref="B55">FindColor(A55)</f>
        <v>15</v>
      </c>
      <c r="C55" s="67" t="s">
        <v>2</v>
      </c>
      <c r="E55" s="5"/>
      <c r="F55" s="40"/>
      <c r="G55" s="40" t="str">
        <f t="shared" ref="G55:G57" si="226">IF(ISBLANK(F55)," - ",IF(H55=0,F55,F55+H55-1))</f>
        <v xml:space="preserve"> - </v>
      </c>
      <c r="H55" s="6"/>
      <c r="I55" s="7"/>
      <c r="J55" s="8" t="str">
        <f t="shared" ref="J55:J57" si="227">IF(OR(G55=0,F55=0)," - ",NETWORKDAYS(F55,G55))</f>
        <v xml:space="preserve"> - </v>
      </c>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c r="BF55" s="45"/>
      <c r="BG55" s="45"/>
      <c r="BH55" s="45"/>
      <c r="BI55" s="45"/>
      <c r="BJ55" s="45"/>
      <c r="BK55" s="45"/>
      <c r="BL55" s="45"/>
      <c r="BM55" s="45"/>
      <c r="BN55" s="45"/>
      <c r="BO55" s="45"/>
      <c r="BP55" s="45"/>
      <c r="BQ55" s="45"/>
      <c r="BR55" s="45"/>
      <c r="BS55" s="45"/>
      <c r="BT55" s="45"/>
      <c r="BU55" s="45"/>
      <c r="BV55" s="45"/>
      <c r="BW55" s="45"/>
      <c r="BX55" s="45"/>
      <c r="BY55" s="45"/>
      <c r="BZ55" s="45"/>
      <c r="CA55" s="45"/>
      <c r="CB55" s="45"/>
      <c r="CC55" s="45"/>
      <c r="CD55" s="45"/>
      <c r="CE55" s="45"/>
      <c r="CF55" s="45"/>
      <c r="CG55" s="45"/>
      <c r="CH55" s="45"/>
      <c r="CI55" s="45"/>
      <c r="CJ55" s="45"/>
      <c r="CK55" s="45"/>
      <c r="CL55" s="45"/>
      <c r="CM55" s="45"/>
      <c r="CN55" s="45"/>
      <c r="CO55" s="45"/>
      <c r="CP55" s="45"/>
      <c r="CQ55" s="45"/>
      <c r="CR55" s="45"/>
      <c r="CS55" s="45"/>
      <c r="CT55" s="45"/>
      <c r="CU55" s="45"/>
      <c r="CV55" s="45"/>
      <c r="CW55" s="45"/>
      <c r="CX55" s="45"/>
      <c r="CY55" s="45"/>
      <c r="CZ55" s="45"/>
      <c r="DA55" s="45"/>
      <c r="DB55" s="45"/>
      <c r="DC55" s="45"/>
      <c r="DD55" s="45"/>
      <c r="DE55" s="45"/>
      <c r="DF55" s="45"/>
      <c r="DG55" s="45"/>
      <c r="DH55" s="45"/>
      <c r="DI55" s="45"/>
      <c r="DJ55" s="45"/>
      <c r="DK55" s="45"/>
      <c r="DL55" s="45"/>
      <c r="DM55" s="45"/>
      <c r="DN55" s="45"/>
      <c r="DO55" s="45"/>
      <c r="DP55" s="45"/>
      <c r="DQ55" s="45"/>
      <c r="DR55" s="45"/>
      <c r="DS55" s="45"/>
      <c r="DT55" s="45"/>
      <c r="DU55" s="45"/>
      <c r="DV55" s="45"/>
      <c r="DW55" s="45"/>
      <c r="DX55" s="45"/>
      <c r="DY55" s="45"/>
      <c r="DZ55" s="45"/>
      <c r="EA55" s="45"/>
      <c r="EB55" s="45"/>
      <c r="EC55" s="45"/>
      <c r="ED55" s="45"/>
      <c r="EE55" s="45"/>
      <c r="EF55" s="45"/>
      <c r="EG55" s="45"/>
      <c r="EH55" s="45"/>
      <c r="EI55" s="45"/>
      <c r="EJ55" s="45"/>
      <c r="EK55" s="45"/>
      <c r="EL55" s="45"/>
      <c r="EM55" s="45"/>
      <c r="EN55" s="45"/>
      <c r="EO55" s="45"/>
      <c r="EP55" s="45"/>
      <c r="EQ55" s="45"/>
      <c r="ER55" s="45"/>
      <c r="ES55" s="45"/>
      <c r="ET55" s="45"/>
      <c r="EU55" s="45"/>
      <c r="EV55" s="45"/>
      <c r="EW55" s="45"/>
      <c r="EX55" s="45"/>
      <c r="EY55" s="45"/>
      <c r="EZ55" s="45"/>
      <c r="FA55" s="45"/>
      <c r="FB55" s="45"/>
      <c r="FC55" s="45"/>
      <c r="FD55" s="45"/>
      <c r="FE55" s="45"/>
      <c r="FF55" s="45"/>
      <c r="FG55" s="45"/>
      <c r="FH55" s="45"/>
      <c r="FI55" s="45"/>
      <c r="FJ55" s="45"/>
      <c r="FK55" s="45"/>
      <c r="FL55" s="45"/>
      <c r="FM55" s="45"/>
      <c r="FN55" s="45"/>
      <c r="FO55" s="45"/>
      <c r="FP55" s="45"/>
      <c r="FQ55" s="45"/>
      <c r="FR55" s="45"/>
      <c r="FS55" s="45"/>
      <c r="FT55" s="45"/>
      <c r="FU55" s="45"/>
      <c r="FV55" s="45"/>
      <c r="FW55" s="45"/>
      <c r="FX55" s="45"/>
      <c r="FY55" s="45"/>
      <c r="FZ55" s="45"/>
      <c r="GA55" s="45"/>
      <c r="GB55" s="45"/>
      <c r="GC55" s="45"/>
      <c r="GD55" s="45"/>
      <c r="GE55" s="45"/>
      <c r="GF55" s="45"/>
      <c r="GG55" s="45"/>
      <c r="GH55" s="45"/>
      <c r="GI55" s="45"/>
      <c r="GJ55" s="45"/>
      <c r="GK55" s="45"/>
      <c r="GL55" s="45"/>
      <c r="GM55" s="45"/>
      <c r="GN55" s="45"/>
      <c r="GO55" s="45"/>
      <c r="GP55" s="45"/>
      <c r="GQ55" s="45"/>
      <c r="GR55" s="45"/>
      <c r="GS55" s="45"/>
      <c r="GT55" s="45"/>
      <c r="GU55" s="45"/>
      <c r="GV55" s="45"/>
      <c r="GW55" s="45"/>
      <c r="GX55" s="45"/>
      <c r="GY55" s="45"/>
      <c r="GZ55" s="45"/>
      <c r="HA55" s="45"/>
      <c r="HB55" s="45"/>
      <c r="HC55" s="45"/>
      <c r="HD55" s="45"/>
      <c r="HE55" s="45"/>
      <c r="HF55" s="45"/>
      <c r="HG55" s="45"/>
      <c r="HH55" s="45"/>
      <c r="HI55" s="45"/>
      <c r="HJ55" s="45"/>
      <c r="HK55" s="45"/>
      <c r="HL55" s="45"/>
      <c r="HM55" s="45"/>
      <c r="HN55" s="45"/>
      <c r="HO55" s="45"/>
      <c r="HP55" s="45"/>
      <c r="HQ55" s="45"/>
      <c r="HR55" s="45"/>
      <c r="HS55" s="45"/>
      <c r="HT55" s="45"/>
      <c r="HU55" s="45"/>
      <c r="HV55" s="45"/>
      <c r="HW55" s="45"/>
      <c r="HX55" s="45"/>
      <c r="HY55" s="45"/>
      <c r="HZ55" s="45"/>
      <c r="IA55" s="45"/>
      <c r="IB55" s="45"/>
      <c r="IC55" s="45"/>
      <c r="ID55" s="45"/>
      <c r="IE55" s="45"/>
      <c r="IF55" s="45"/>
      <c r="IG55" s="45"/>
      <c r="IH55" s="45"/>
      <c r="II55" s="45"/>
      <c r="IJ55" s="45"/>
      <c r="IK55" s="45"/>
      <c r="IL55" s="45"/>
      <c r="IM55" s="45"/>
      <c r="IN55" s="45"/>
      <c r="IO55" s="45"/>
      <c r="IP55" s="45"/>
      <c r="IQ55" s="45"/>
      <c r="IR55" s="45"/>
      <c r="IS55" s="45"/>
      <c r="IT55" s="45"/>
      <c r="IU55" s="45"/>
      <c r="IV55" s="45"/>
      <c r="IW55" s="45"/>
      <c r="IX55" s="45"/>
      <c r="IY55" s="45"/>
      <c r="IZ55" s="45"/>
      <c r="JA55" s="45"/>
      <c r="JB55" s="45"/>
      <c r="JG55" s="87"/>
    </row>
    <row r="56" spans="1:267" s="10" customFormat="1" ht="13.8" x14ac:dyDescent="0.25">
      <c r="A56" s="9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56" s="94" cm="1">
        <f t="array" ref="B56">FindColor(A56)</f>
        <v>35</v>
      </c>
      <c r="C56" s="56" t="s">
        <v>3</v>
      </c>
      <c r="E56" s="57"/>
      <c r="F56" s="38">
        <v>43129</v>
      </c>
      <c r="G56" s="39">
        <f t="shared" si="226"/>
        <v>43129</v>
      </c>
      <c r="H56" s="11">
        <v>1</v>
      </c>
      <c r="I56" s="12">
        <v>0</v>
      </c>
      <c r="J56" s="13">
        <f t="shared" si="227"/>
        <v>1</v>
      </c>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c r="FN56" s="9"/>
      <c r="FO56" s="9"/>
      <c r="FP56" s="9"/>
      <c r="FQ56" s="9"/>
      <c r="FR56" s="9"/>
      <c r="FS56" s="9"/>
      <c r="FT56" s="9"/>
      <c r="FU56" s="9"/>
      <c r="FV56" s="9"/>
      <c r="FW56" s="9"/>
      <c r="FX56" s="9"/>
      <c r="FY56" s="9"/>
      <c r="FZ56" s="9"/>
      <c r="GA56" s="9"/>
      <c r="GB56" s="9"/>
      <c r="GC56" s="9"/>
      <c r="GD56" s="9"/>
      <c r="GE56" s="9"/>
      <c r="GF56" s="9"/>
      <c r="GG56" s="9"/>
      <c r="GH56" s="9"/>
      <c r="GI56" s="9"/>
      <c r="GJ56" s="9"/>
      <c r="GK56" s="9"/>
      <c r="GL56" s="9"/>
      <c r="GM56" s="9"/>
      <c r="GN56" s="9"/>
      <c r="GO56" s="9"/>
      <c r="GP56" s="9"/>
      <c r="GQ56" s="9"/>
      <c r="GR56" s="9"/>
      <c r="GS56" s="9"/>
      <c r="GT56" s="9"/>
      <c r="GU56" s="9"/>
      <c r="GV56" s="9"/>
      <c r="GW56" s="9"/>
      <c r="GX56" s="9"/>
      <c r="GY56" s="9"/>
      <c r="GZ56" s="9"/>
      <c r="HA56" s="9"/>
      <c r="HB56" s="9"/>
      <c r="HC56" s="9"/>
      <c r="HD56" s="9"/>
      <c r="HE56" s="9"/>
      <c r="HF56" s="9"/>
      <c r="HG56" s="9"/>
      <c r="HH56" s="9"/>
      <c r="HI56" s="9"/>
      <c r="HJ56" s="9"/>
      <c r="HK56" s="9"/>
      <c r="HL56" s="9"/>
      <c r="HM56" s="9"/>
      <c r="HN56" s="9"/>
      <c r="HO56" s="9"/>
      <c r="HP56" s="9"/>
      <c r="HQ56" s="9"/>
      <c r="HR56" s="9"/>
      <c r="HS56" s="9"/>
      <c r="HT56" s="9"/>
      <c r="HU56" s="9"/>
      <c r="HV56" s="9"/>
      <c r="HW56" s="9"/>
      <c r="HX56" s="9"/>
      <c r="HY56" s="9"/>
      <c r="HZ56" s="9"/>
      <c r="IA56" s="9"/>
      <c r="IB56" s="9"/>
      <c r="IC56" s="9"/>
      <c r="ID56" s="9"/>
      <c r="IE56" s="9"/>
      <c r="IF56" s="9"/>
      <c r="IG56" s="9"/>
      <c r="IH56" s="9"/>
      <c r="II56" s="9"/>
      <c r="IJ56" s="9"/>
      <c r="IK56" s="9"/>
      <c r="IL56" s="9"/>
      <c r="IM56" s="9"/>
      <c r="IN56" s="9"/>
      <c r="IO56" s="9"/>
      <c r="IP56" s="9"/>
      <c r="IQ56" s="9"/>
      <c r="IR56" s="9"/>
      <c r="IS56" s="9"/>
      <c r="IT56" s="9"/>
      <c r="IU56" s="9"/>
      <c r="IV56" s="9"/>
      <c r="IW56" s="9"/>
      <c r="IX56" s="9"/>
      <c r="IY56" s="9"/>
      <c r="IZ56" s="9"/>
      <c r="JA56" s="9"/>
      <c r="JB56" s="9"/>
      <c r="JG56" s="88"/>
    </row>
    <row r="57" spans="1:267" s="4" customFormat="1" ht="13.8" x14ac:dyDescent="0.25">
      <c r="A57" s="3" t="str">
        <f>IF(ISERROR(VALUE(SUBSTITUTE(prevWBS,".",""))),"1",IF(ISERROR(FIND("`",SUBSTITUTE(prevWBS,".","`",1))),TEXT(VALUE(prevWBS)+1,"#"),TEXT(VALUE(LEFT(prevWBS,FIND("`",SUBSTITUTE(prevWBS,".","`",1))-1))+1,"#")))</f>
        <v>10</v>
      </c>
      <c r="B57" s="94" cm="1">
        <f t="array" ref="B57">FindColor(A57)</f>
        <v>15</v>
      </c>
      <c r="C57" s="67" t="s">
        <v>35</v>
      </c>
      <c r="E57" s="5"/>
      <c r="F57" s="40"/>
      <c r="G57" s="40" t="str">
        <f t="shared" si="226"/>
        <v xml:space="preserve"> - </v>
      </c>
      <c r="H57" s="6"/>
      <c r="I57" s="7"/>
      <c r="J57" s="8" t="str">
        <f t="shared" si="227"/>
        <v xml:space="preserve"> - </v>
      </c>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c r="BF57" s="45"/>
      <c r="BG57" s="45"/>
      <c r="BH57" s="45"/>
      <c r="BI57" s="45"/>
      <c r="BJ57" s="45"/>
      <c r="BK57" s="45"/>
      <c r="BL57" s="45"/>
      <c r="BM57" s="45"/>
      <c r="BN57" s="45"/>
      <c r="BO57" s="45"/>
      <c r="BP57" s="45"/>
      <c r="BQ57" s="45"/>
      <c r="BR57" s="45"/>
      <c r="BS57" s="45"/>
      <c r="BT57" s="45"/>
      <c r="BU57" s="45"/>
      <c r="BV57" s="45"/>
      <c r="BW57" s="45"/>
      <c r="BX57" s="45"/>
      <c r="BY57" s="45"/>
      <c r="BZ57" s="45"/>
      <c r="CA57" s="45"/>
      <c r="CB57" s="45"/>
      <c r="CC57" s="45"/>
      <c r="CD57" s="45"/>
      <c r="CE57" s="45"/>
      <c r="CF57" s="45"/>
      <c r="CG57" s="45"/>
      <c r="CH57" s="45"/>
      <c r="CI57" s="45"/>
      <c r="CJ57" s="45"/>
      <c r="CK57" s="45"/>
      <c r="CL57" s="45"/>
      <c r="CM57" s="45"/>
      <c r="CN57" s="45"/>
      <c r="CO57" s="45"/>
      <c r="CP57" s="45"/>
      <c r="CQ57" s="45"/>
      <c r="CR57" s="45"/>
      <c r="CS57" s="45"/>
      <c r="CT57" s="45"/>
      <c r="CU57" s="45"/>
      <c r="CV57" s="45"/>
      <c r="CW57" s="45"/>
      <c r="CX57" s="45"/>
      <c r="CY57" s="45"/>
      <c r="CZ57" s="45"/>
      <c r="DA57" s="45"/>
      <c r="DB57" s="45"/>
      <c r="DC57" s="45"/>
      <c r="DD57" s="45"/>
      <c r="DE57" s="45"/>
      <c r="DF57" s="45"/>
      <c r="DG57" s="45"/>
      <c r="DH57" s="45"/>
      <c r="DI57" s="45"/>
      <c r="DJ57" s="45"/>
      <c r="DK57" s="45"/>
      <c r="DL57" s="45"/>
      <c r="DM57" s="45"/>
      <c r="DN57" s="45"/>
      <c r="DO57" s="45"/>
      <c r="DP57" s="45"/>
      <c r="DQ57" s="45"/>
      <c r="DR57" s="45"/>
      <c r="DS57" s="45"/>
      <c r="DT57" s="45"/>
      <c r="DU57" s="45"/>
      <c r="DV57" s="45"/>
      <c r="DW57" s="45"/>
      <c r="DX57" s="45"/>
      <c r="DY57" s="45"/>
      <c r="DZ57" s="45"/>
      <c r="EA57" s="45"/>
      <c r="EB57" s="45"/>
      <c r="EC57" s="45"/>
      <c r="ED57" s="45"/>
      <c r="EE57" s="45"/>
      <c r="EF57" s="45"/>
      <c r="EG57" s="45"/>
      <c r="EH57" s="45"/>
      <c r="EI57" s="45"/>
      <c r="EJ57" s="45"/>
      <c r="EK57" s="45"/>
      <c r="EL57" s="45"/>
      <c r="EM57" s="45"/>
      <c r="EN57" s="45"/>
      <c r="EO57" s="45"/>
      <c r="EP57" s="45"/>
      <c r="EQ57" s="45"/>
      <c r="ER57" s="45"/>
      <c r="ES57" s="45"/>
      <c r="ET57" s="45"/>
      <c r="EU57" s="45"/>
      <c r="EV57" s="45"/>
      <c r="EW57" s="45"/>
      <c r="EX57" s="45"/>
      <c r="EY57" s="45"/>
      <c r="EZ57" s="45"/>
      <c r="FA57" s="45"/>
      <c r="FB57" s="45"/>
      <c r="FC57" s="45"/>
      <c r="FD57" s="45"/>
      <c r="FE57" s="45"/>
      <c r="FF57" s="45"/>
      <c r="FG57" s="45"/>
      <c r="FH57" s="45"/>
      <c r="FI57" s="45"/>
      <c r="FJ57" s="45"/>
      <c r="FK57" s="45"/>
      <c r="FL57" s="45"/>
      <c r="FM57" s="45"/>
      <c r="FN57" s="45"/>
      <c r="FO57" s="45"/>
      <c r="FP57" s="45"/>
      <c r="FQ57" s="45"/>
      <c r="FR57" s="45"/>
      <c r="FS57" s="45"/>
      <c r="FT57" s="45"/>
      <c r="FU57" s="45"/>
      <c r="FV57" s="45"/>
      <c r="FW57" s="45"/>
      <c r="FX57" s="45"/>
      <c r="FY57" s="45"/>
      <c r="FZ57" s="45"/>
      <c r="GA57" s="45"/>
      <c r="GB57" s="45"/>
      <c r="GC57" s="45"/>
      <c r="GD57" s="45"/>
      <c r="GE57" s="45"/>
      <c r="GF57" s="45"/>
      <c r="GG57" s="45"/>
      <c r="GH57" s="45"/>
      <c r="GI57" s="45"/>
      <c r="GJ57" s="45"/>
      <c r="GK57" s="45"/>
      <c r="GL57" s="45"/>
      <c r="GM57" s="45"/>
      <c r="GN57" s="45"/>
      <c r="GO57" s="45"/>
      <c r="GP57" s="45"/>
      <c r="GQ57" s="45"/>
      <c r="GR57" s="45"/>
      <c r="GS57" s="45"/>
      <c r="GT57" s="45"/>
      <c r="GU57" s="45"/>
      <c r="GV57" s="45"/>
      <c r="GW57" s="45"/>
      <c r="GX57" s="45"/>
      <c r="GY57" s="45"/>
      <c r="GZ57" s="45"/>
      <c r="HA57" s="45"/>
      <c r="HB57" s="45"/>
      <c r="HC57" s="45"/>
      <c r="HD57" s="45"/>
      <c r="HE57" s="45"/>
      <c r="HF57" s="45"/>
      <c r="HG57" s="45"/>
      <c r="HH57" s="45"/>
      <c r="HI57" s="45"/>
      <c r="HJ57" s="45"/>
      <c r="HK57" s="45"/>
      <c r="HL57" s="45"/>
      <c r="HM57" s="45"/>
      <c r="HN57" s="45"/>
      <c r="HO57" s="45"/>
      <c r="HP57" s="45"/>
      <c r="HQ57" s="45"/>
      <c r="HR57" s="45"/>
      <c r="HS57" s="45"/>
      <c r="HT57" s="45"/>
      <c r="HU57" s="45"/>
      <c r="HV57" s="45"/>
      <c r="HW57" s="45"/>
      <c r="HX57" s="45"/>
      <c r="HY57" s="45"/>
      <c r="HZ57" s="45"/>
      <c r="IA57" s="45"/>
      <c r="IB57" s="45"/>
      <c r="IC57" s="45"/>
      <c r="ID57" s="45"/>
      <c r="IE57" s="45"/>
      <c r="IF57" s="45"/>
      <c r="IG57" s="45"/>
      <c r="IH57" s="45"/>
      <c r="II57" s="45"/>
      <c r="IJ57" s="45"/>
      <c r="IK57" s="45"/>
      <c r="IL57" s="45"/>
      <c r="IM57" s="45"/>
      <c r="IN57" s="45"/>
      <c r="IO57" s="45"/>
      <c r="IP57" s="45"/>
      <c r="IQ57" s="45"/>
      <c r="IR57" s="45"/>
      <c r="IS57" s="45"/>
      <c r="IT57" s="45"/>
      <c r="IU57" s="45"/>
      <c r="IV57" s="45"/>
      <c r="IW57" s="45"/>
      <c r="IX57" s="45"/>
      <c r="IY57" s="45"/>
      <c r="IZ57" s="45"/>
      <c r="JA57" s="45"/>
      <c r="JB57" s="45"/>
      <c r="JG57" s="87"/>
    </row>
    <row r="58" spans="1:267" s="10" customFormat="1" ht="13.8" outlineLevel="1" x14ac:dyDescent="0.25">
      <c r="A58" s="9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10.1</v>
      </c>
      <c r="B58" s="94" cm="1">
        <f t="array" ref="B58">FindColor(A58)</f>
        <v>35</v>
      </c>
      <c r="C58" s="69" t="s">
        <v>36</v>
      </c>
      <c r="E58" s="57"/>
      <c r="F58" s="38">
        <v>43129</v>
      </c>
      <c r="G58" s="39">
        <f t="shared" ref="G58:G60" si="228">IF(ISBLANK(F58)," - ",IF(H58=0,F58,F58+H58-1))</f>
        <v>43129</v>
      </c>
      <c r="H58" s="11">
        <v>1</v>
      </c>
      <c r="I58" s="12">
        <v>0</v>
      </c>
      <c r="J58" s="13">
        <f t="shared" ref="J58:J60" si="229">IF(OR(G58=0,F58=0)," - ",NETWORKDAYS(F58,G58))</f>
        <v>1</v>
      </c>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c r="BS58" s="9"/>
      <c r="BT58" s="9"/>
      <c r="BU58" s="9"/>
      <c r="BV58" s="9"/>
      <c r="BW58" s="9"/>
      <c r="BX58" s="9"/>
      <c r="BY58" s="9"/>
      <c r="BZ58" s="9"/>
      <c r="CA58" s="9"/>
      <c r="CB58" s="9"/>
      <c r="CC58" s="9"/>
      <c r="CD58" s="9"/>
      <c r="CE58" s="9"/>
      <c r="CF58" s="9"/>
      <c r="CG58" s="9"/>
      <c r="CH58" s="9"/>
      <c r="CI58" s="9"/>
      <c r="CJ58" s="9"/>
      <c r="CK58" s="9"/>
      <c r="CL58" s="9"/>
      <c r="CM58" s="9"/>
      <c r="CN58" s="9"/>
      <c r="CO58" s="9"/>
      <c r="CP58" s="9"/>
      <c r="CQ58" s="9"/>
      <c r="CR58" s="9"/>
      <c r="CS58" s="9"/>
      <c r="CT58" s="9"/>
      <c r="CU58" s="9"/>
      <c r="CV58" s="9"/>
      <c r="CW58" s="9"/>
      <c r="CX58" s="9"/>
      <c r="CY58" s="9"/>
      <c r="CZ58" s="9"/>
      <c r="DA58" s="9"/>
      <c r="DB58" s="9"/>
      <c r="DC58" s="9"/>
      <c r="DD58" s="9"/>
      <c r="DE58" s="9"/>
      <c r="DF58" s="9"/>
      <c r="DG58" s="9"/>
      <c r="DH58" s="9"/>
      <c r="DI58" s="9"/>
      <c r="DJ58" s="9"/>
      <c r="DK58" s="9"/>
      <c r="DL58" s="9"/>
      <c r="DM58" s="9"/>
      <c r="DN58" s="9"/>
      <c r="DO58" s="9"/>
      <c r="DP58" s="9"/>
      <c r="DQ58" s="9"/>
      <c r="DR58" s="9"/>
      <c r="DS58" s="9"/>
      <c r="DT58" s="9"/>
      <c r="DU58" s="9"/>
      <c r="DV58" s="9"/>
      <c r="DW58" s="9"/>
      <c r="DX58" s="9"/>
      <c r="DY58" s="9"/>
      <c r="DZ58" s="9"/>
      <c r="EA58" s="9"/>
      <c r="EB58" s="9"/>
      <c r="EC58" s="9"/>
      <c r="ED58" s="9"/>
      <c r="EE58" s="9"/>
      <c r="EF58" s="9"/>
      <c r="EG58" s="9"/>
      <c r="EH58" s="9"/>
      <c r="EI58" s="9"/>
      <c r="EJ58" s="9"/>
      <c r="EK58" s="9"/>
      <c r="EL58" s="9"/>
      <c r="EM58" s="9"/>
      <c r="EN58" s="9"/>
      <c r="EO58" s="9"/>
      <c r="EP58" s="9"/>
      <c r="EQ58" s="9"/>
      <c r="ER58" s="9"/>
      <c r="ES58" s="9"/>
      <c r="ET58" s="9"/>
      <c r="EU58" s="9"/>
      <c r="EV58" s="9"/>
      <c r="EW58" s="9"/>
      <c r="EX58" s="9"/>
      <c r="EY58" s="9"/>
      <c r="EZ58" s="9"/>
      <c r="FA58" s="9"/>
      <c r="FB58" s="9"/>
      <c r="FC58" s="9"/>
      <c r="FD58" s="9"/>
      <c r="FE58" s="9"/>
      <c r="FF58" s="9"/>
      <c r="FG58" s="9"/>
      <c r="FH58" s="9"/>
      <c r="FI58" s="9"/>
      <c r="FJ58" s="9"/>
      <c r="FK58" s="9"/>
      <c r="FL58" s="9"/>
      <c r="FM58" s="9"/>
      <c r="FN58" s="9"/>
      <c r="FO58" s="9"/>
      <c r="FP58" s="9"/>
      <c r="FQ58" s="9"/>
      <c r="FR58" s="9"/>
      <c r="FS58" s="9"/>
      <c r="FT58" s="9"/>
      <c r="FU58" s="9"/>
      <c r="FV58" s="9"/>
      <c r="FW58" s="9"/>
      <c r="FX58" s="9"/>
      <c r="FY58" s="9"/>
      <c r="FZ58" s="9"/>
      <c r="GA58" s="9"/>
      <c r="GB58" s="9"/>
      <c r="GC58" s="9"/>
      <c r="GD58" s="9"/>
      <c r="GE58" s="9"/>
      <c r="GF58" s="9"/>
      <c r="GG58" s="9"/>
      <c r="GH58" s="9"/>
      <c r="GI58" s="9"/>
      <c r="GJ58" s="9"/>
      <c r="GK58" s="9"/>
      <c r="GL58" s="9"/>
      <c r="GM58" s="9"/>
      <c r="GN58" s="9"/>
      <c r="GO58" s="9"/>
      <c r="GP58" s="9"/>
      <c r="GQ58" s="9"/>
      <c r="GR58" s="9"/>
      <c r="GS58" s="9"/>
      <c r="GT58" s="9"/>
      <c r="GU58" s="9"/>
      <c r="GV58" s="9"/>
      <c r="GW58" s="9"/>
      <c r="GX58" s="9"/>
      <c r="GY58" s="9"/>
      <c r="GZ58" s="9"/>
      <c r="HA58" s="9"/>
      <c r="HB58" s="9"/>
      <c r="HC58" s="9"/>
      <c r="HD58" s="9"/>
      <c r="HE58" s="9"/>
      <c r="HF58" s="9"/>
      <c r="HG58" s="9"/>
      <c r="HH58" s="9"/>
      <c r="HI58" s="9"/>
      <c r="HJ58" s="9"/>
      <c r="HK58" s="9"/>
      <c r="HL58" s="9"/>
      <c r="HM58" s="9"/>
      <c r="HN58" s="9"/>
      <c r="HO58" s="9"/>
      <c r="HP58" s="9"/>
      <c r="HQ58" s="9"/>
      <c r="HR58" s="9"/>
      <c r="HS58" s="9"/>
      <c r="HT58" s="9"/>
      <c r="HU58" s="9"/>
      <c r="HV58" s="9"/>
      <c r="HW58" s="9"/>
      <c r="HX58" s="9"/>
      <c r="HY58" s="9"/>
      <c r="HZ58" s="9"/>
      <c r="IA58" s="9"/>
      <c r="IB58" s="9"/>
      <c r="IC58" s="9"/>
      <c r="ID58" s="9"/>
      <c r="IE58" s="9"/>
      <c r="IF58" s="9"/>
      <c r="IG58" s="9"/>
      <c r="IH58" s="9"/>
      <c r="II58" s="9"/>
      <c r="IJ58" s="9"/>
      <c r="IK58" s="9"/>
      <c r="IL58" s="9"/>
      <c r="IM58" s="9"/>
      <c r="IN58" s="9"/>
      <c r="IO58" s="9"/>
      <c r="IP58" s="9"/>
      <c r="IQ58" s="9"/>
      <c r="IR58" s="9"/>
      <c r="IS58" s="9"/>
      <c r="IT58" s="9"/>
      <c r="IU58" s="9"/>
      <c r="IV58" s="9"/>
      <c r="IW58" s="9"/>
      <c r="IX58" s="9"/>
      <c r="IY58" s="9"/>
      <c r="IZ58" s="9"/>
      <c r="JA58" s="9"/>
      <c r="JB58" s="9"/>
      <c r="JG58" s="88"/>
    </row>
    <row r="59" spans="1:267" s="10" customFormat="1" ht="13.8" outlineLevel="1" x14ac:dyDescent="0.25">
      <c r="A59" s="9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10.1.1</v>
      </c>
      <c r="B59" s="94" cm="1">
        <f t="array" ref="B59">FindColor(A59)</f>
        <v>24</v>
      </c>
      <c r="C59" s="74" t="s">
        <v>37</v>
      </c>
      <c r="E59" s="57"/>
      <c r="F59" s="38">
        <v>43129</v>
      </c>
      <c r="G59" s="39">
        <f t="shared" si="228"/>
        <v>43129</v>
      </c>
      <c r="H59" s="11">
        <v>1</v>
      </c>
      <c r="I59" s="12">
        <v>0</v>
      </c>
      <c r="J59" s="13">
        <f t="shared" si="229"/>
        <v>1</v>
      </c>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c r="FN59" s="9"/>
      <c r="FO59" s="9"/>
      <c r="FP59" s="9"/>
      <c r="FQ59" s="9"/>
      <c r="FR59" s="9"/>
      <c r="FS59" s="9"/>
      <c r="FT59" s="9"/>
      <c r="FU59" s="9"/>
      <c r="FV59" s="9"/>
      <c r="FW59" s="9"/>
      <c r="FX59" s="9"/>
      <c r="FY59" s="9"/>
      <c r="FZ59" s="9"/>
      <c r="GA59" s="9"/>
      <c r="GB59" s="9"/>
      <c r="GC59" s="9"/>
      <c r="GD59" s="9"/>
      <c r="GE59" s="9"/>
      <c r="GF59" s="9"/>
      <c r="GG59" s="9"/>
      <c r="GH59" s="9"/>
      <c r="GI59" s="9"/>
      <c r="GJ59" s="9"/>
      <c r="GK59" s="9"/>
      <c r="GL59" s="9"/>
      <c r="GM59" s="9"/>
      <c r="GN59" s="9"/>
      <c r="GO59" s="9"/>
      <c r="GP59" s="9"/>
      <c r="GQ59" s="9"/>
      <c r="GR59" s="9"/>
      <c r="GS59" s="9"/>
      <c r="GT59" s="9"/>
      <c r="GU59" s="9"/>
      <c r="GV59" s="9"/>
      <c r="GW59" s="9"/>
      <c r="GX59" s="9"/>
      <c r="GY59" s="9"/>
      <c r="GZ59" s="9"/>
      <c r="HA59" s="9"/>
      <c r="HB59" s="9"/>
      <c r="HC59" s="9"/>
      <c r="HD59" s="9"/>
      <c r="HE59" s="9"/>
      <c r="HF59" s="9"/>
      <c r="HG59" s="9"/>
      <c r="HH59" s="9"/>
      <c r="HI59" s="9"/>
      <c r="HJ59" s="9"/>
      <c r="HK59" s="9"/>
      <c r="HL59" s="9"/>
      <c r="HM59" s="9"/>
      <c r="HN59" s="9"/>
      <c r="HO59" s="9"/>
      <c r="HP59" s="9"/>
      <c r="HQ59" s="9"/>
      <c r="HR59" s="9"/>
      <c r="HS59" s="9"/>
      <c r="HT59" s="9"/>
      <c r="HU59" s="9"/>
      <c r="HV59" s="9"/>
      <c r="HW59" s="9"/>
      <c r="HX59" s="9"/>
      <c r="HY59" s="9"/>
      <c r="HZ59" s="9"/>
      <c r="IA59" s="9"/>
      <c r="IB59" s="9"/>
      <c r="IC59" s="9"/>
      <c r="ID59" s="9"/>
      <c r="IE59" s="9"/>
      <c r="IF59" s="9"/>
      <c r="IG59" s="9"/>
      <c r="IH59" s="9"/>
      <c r="II59" s="9"/>
      <c r="IJ59" s="9"/>
      <c r="IK59" s="9"/>
      <c r="IL59" s="9"/>
      <c r="IM59" s="9"/>
      <c r="IN59" s="9"/>
      <c r="IO59" s="9"/>
      <c r="IP59" s="9"/>
      <c r="IQ59" s="9"/>
      <c r="IR59" s="9"/>
      <c r="IS59" s="9"/>
      <c r="IT59" s="9"/>
      <c r="IU59" s="9"/>
      <c r="IV59" s="9"/>
      <c r="IW59" s="9"/>
      <c r="IX59" s="9"/>
      <c r="IY59" s="9"/>
      <c r="IZ59" s="9"/>
      <c r="JA59" s="9"/>
      <c r="JB59" s="9"/>
      <c r="JG59" s="88"/>
    </row>
    <row r="60" spans="1:267" s="10" customFormat="1" ht="13.8" outlineLevel="1" x14ac:dyDescent="0.25">
      <c r="A60" s="114"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10.1.1.1</v>
      </c>
      <c r="B60" s="94" cm="1">
        <f t="array" ref="B60">FindColor(A60)</f>
        <v>19</v>
      </c>
      <c r="C60" s="74" t="s">
        <v>38</v>
      </c>
      <c r="E60" s="57"/>
      <c r="F60" s="38">
        <v>43129</v>
      </c>
      <c r="G60" s="39">
        <f t="shared" si="228"/>
        <v>43129</v>
      </c>
      <c r="H60" s="11">
        <v>1</v>
      </c>
      <c r="I60" s="12">
        <v>0</v>
      </c>
      <c r="J60" s="13">
        <f t="shared" si="229"/>
        <v>1</v>
      </c>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c r="FN60" s="9"/>
      <c r="FO60" s="9"/>
      <c r="FP60" s="9"/>
      <c r="FQ60" s="9"/>
      <c r="FR60" s="9"/>
      <c r="FS60" s="9"/>
      <c r="FT60" s="9"/>
      <c r="FU60" s="9"/>
      <c r="FV60" s="9"/>
      <c r="FW60" s="9"/>
      <c r="FX60" s="9"/>
      <c r="FY60" s="9"/>
      <c r="FZ60" s="9"/>
      <c r="GA60" s="9"/>
      <c r="GB60" s="9"/>
      <c r="GC60" s="9"/>
      <c r="GD60" s="9"/>
      <c r="GE60" s="9"/>
      <c r="GF60" s="9"/>
      <c r="GG60" s="9"/>
      <c r="GH60" s="9"/>
      <c r="GI60" s="9"/>
      <c r="GJ60" s="9"/>
      <c r="GK60" s="9"/>
      <c r="GL60" s="9"/>
      <c r="GM60" s="9"/>
      <c r="GN60" s="9"/>
      <c r="GO60" s="9"/>
      <c r="GP60" s="9"/>
      <c r="GQ60" s="9"/>
      <c r="GR60" s="9"/>
      <c r="GS60" s="9"/>
      <c r="GT60" s="9"/>
      <c r="GU60" s="9"/>
      <c r="GV60" s="9"/>
      <c r="GW60" s="9"/>
      <c r="GX60" s="9"/>
      <c r="GY60" s="9"/>
      <c r="GZ60" s="9"/>
      <c r="HA60" s="9"/>
      <c r="HB60" s="9"/>
      <c r="HC60" s="9"/>
      <c r="HD60" s="9"/>
      <c r="HE60" s="9"/>
      <c r="HF60" s="9"/>
      <c r="HG60" s="9"/>
      <c r="HH60" s="9"/>
      <c r="HI60" s="9"/>
      <c r="HJ60" s="9"/>
      <c r="HK60" s="9"/>
      <c r="HL60" s="9"/>
      <c r="HM60" s="9"/>
      <c r="HN60" s="9"/>
      <c r="HO60" s="9"/>
      <c r="HP60" s="9"/>
      <c r="HQ60" s="9"/>
      <c r="HR60" s="9"/>
      <c r="HS60" s="9"/>
      <c r="HT60" s="9"/>
      <c r="HU60" s="9"/>
      <c r="HV60" s="9"/>
      <c r="HW60" s="9"/>
      <c r="HX60" s="9"/>
      <c r="HY60" s="9"/>
      <c r="HZ60" s="9"/>
      <c r="IA60" s="9"/>
      <c r="IB60" s="9"/>
      <c r="IC60" s="9"/>
      <c r="ID60" s="9"/>
      <c r="IE60" s="9"/>
      <c r="IF60" s="9"/>
      <c r="IG60" s="9"/>
      <c r="IH60" s="9"/>
      <c r="II60" s="9"/>
      <c r="IJ60" s="9"/>
      <c r="IK60" s="9"/>
      <c r="IL60" s="9"/>
      <c r="IM60" s="9"/>
      <c r="IN60" s="9"/>
      <c r="IO60" s="9"/>
      <c r="IP60" s="9"/>
      <c r="IQ60" s="9"/>
      <c r="IR60" s="9"/>
      <c r="IS60" s="9"/>
      <c r="IT60" s="9"/>
      <c r="IU60" s="9"/>
      <c r="IV60" s="9"/>
      <c r="IW60" s="9"/>
      <c r="IX60" s="9"/>
      <c r="IY60" s="9"/>
      <c r="IZ60" s="9"/>
      <c r="JA60" s="9"/>
      <c r="JB60" s="9"/>
      <c r="JG60" s="88"/>
    </row>
    <row r="61" spans="1:267" s="111" customFormat="1" ht="13.8" outlineLevel="1" x14ac:dyDescent="0.25">
      <c r="A61" s="116"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10.1.1.1.1</v>
      </c>
      <c r="B61" s="94" cm="1">
        <f t="array" ref="B61">FindColor(A61)</f>
        <v>40</v>
      </c>
      <c r="C61" s="110" t="s">
        <v>55</v>
      </c>
      <c r="E61" s="59"/>
      <c r="F61" s="60"/>
      <c r="G61" s="61"/>
      <c r="H61" s="62"/>
      <c r="I61" s="63"/>
      <c r="J61" s="64"/>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G61" s="113"/>
    </row>
    <row r="62" spans="1:267" s="99" customFormat="1" ht="14.4" outlineLevel="1" thickBot="1" x14ac:dyDescent="0.3">
      <c r="A62" s="107"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10.1.1.1.2</v>
      </c>
      <c r="B62" s="115" cm="1">
        <f t="array" ref="B62">FindColor(A62)</f>
        <v>40</v>
      </c>
      <c r="C62" s="84" t="s">
        <v>55</v>
      </c>
      <c r="E62" s="100"/>
      <c r="F62" s="101"/>
      <c r="G62" s="102"/>
      <c r="H62" s="103"/>
      <c r="I62" s="104"/>
      <c r="J62" s="105"/>
      <c r="K62" s="84"/>
      <c r="L62" s="84"/>
      <c r="M62" s="84"/>
      <c r="N62" s="84"/>
      <c r="O62" s="84"/>
      <c r="P62" s="84"/>
      <c r="Q62" s="84"/>
      <c r="R62" s="84"/>
      <c r="S62" s="84"/>
      <c r="T62" s="84"/>
      <c r="U62" s="84"/>
      <c r="V62" s="84"/>
      <c r="W62" s="84"/>
      <c r="X62" s="84"/>
      <c r="Y62" s="84"/>
      <c r="Z62" s="84"/>
      <c r="AA62" s="84"/>
      <c r="AB62" s="84"/>
      <c r="AC62" s="84"/>
      <c r="AD62" s="84"/>
      <c r="AE62" s="84"/>
      <c r="AF62" s="84"/>
      <c r="AG62" s="84"/>
      <c r="AH62" s="84"/>
      <c r="AI62" s="84"/>
      <c r="AJ62" s="84"/>
      <c r="AK62" s="84"/>
      <c r="AL62" s="84"/>
      <c r="AM62" s="84"/>
      <c r="AN62" s="84"/>
      <c r="AO62" s="84"/>
      <c r="AP62" s="84"/>
      <c r="AQ62" s="84"/>
      <c r="AR62" s="84"/>
      <c r="AS62" s="84"/>
      <c r="AT62" s="84"/>
      <c r="AU62" s="84"/>
      <c r="AV62" s="84"/>
      <c r="AW62" s="84"/>
      <c r="AX62" s="84"/>
      <c r="AY62" s="84"/>
      <c r="AZ62" s="84"/>
      <c r="BA62" s="84"/>
      <c r="BB62" s="84"/>
      <c r="BC62" s="84"/>
      <c r="BD62" s="84"/>
      <c r="BE62" s="84"/>
      <c r="BF62" s="84"/>
      <c r="BG62" s="84"/>
      <c r="BH62" s="84"/>
      <c r="BI62" s="84"/>
      <c r="BJ62" s="84"/>
      <c r="BK62" s="84"/>
      <c r="BL62" s="84"/>
      <c r="BM62" s="84"/>
      <c r="BN62" s="84"/>
      <c r="BO62" s="84"/>
      <c r="BP62" s="84"/>
      <c r="BQ62" s="84"/>
      <c r="BR62" s="84"/>
      <c r="BS62" s="84"/>
      <c r="BT62" s="84"/>
      <c r="BU62" s="84"/>
      <c r="BV62" s="84"/>
      <c r="BW62" s="84"/>
      <c r="BX62" s="84"/>
      <c r="BY62" s="84"/>
      <c r="BZ62" s="84"/>
      <c r="CA62" s="84"/>
      <c r="CB62" s="84"/>
      <c r="CC62" s="84"/>
      <c r="CD62" s="84"/>
      <c r="CE62" s="84"/>
      <c r="CF62" s="84"/>
      <c r="CG62" s="84"/>
      <c r="CH62" s="84"/>
      <c r="CI62" s="84"/>
      <c r="CJ62" s="84"/>
      <c r="CK62" s="84"/>
      <c r="CL62" s="84"/>
      <c r="CM62" s="84"/>
      <c r="CN62" s="84"/>
      <c r="CO62" s="84"/>
      <c r="CP62" s="84"/>
      <c r="CQ62" s="84"/>
      <c r="CR62" s="84"/>
      <c r="CS62" s="84"/>
      <c r="CT62" s="84"/>
      <c r="CU62" s="84"/>
      <c r="CV62" s="84"/>
      <c r="CW62" s="84"/>
      <c r="CX62" s="84"/>
      <c r="CY62" s="84"/>
      <c r="CZ62" s="84"/>
      <c r="DA62" s="84"/>
      <c r="DB62" s="84"/>
      <c r="DC62" s="84"/>
      <c r="DD62" s="84"/>
      <c r="DE62" s="84"/>
      <c r="DF62" s="84"/>
      <c r="DG62" s="84"/>
      <c r="DH62" s="84"/>
      <c r="DI62" s="84"/>
      <c r="DJ62" s="84"/>
      <c r="DK62" s="84"/>
      <c r="DL62" s="84"/>
      <c r="DM62" s="84"/>
      <c r="DN62" s="84"/>
      <c r="DO62" s="84"/>
      <c r="DP62" s="84"/>
      <c r="DQ62" s="84"/>
      <c r="DR62" s="84"/>
      <c r="DS62" s="84"/>
      <c r="DT62" s="84"/>
      <c r="DU62" s="84"/>
      <c r="DV62" s="84"/>
      <c r="DW62" s="84"/>
      <c r="DX62" s="84"/>
      <c r="DY62" s="84"/>
      <c r="DZ62" s="84"/>
      <c r="EA62" s="84"/>
      <c r="EB62" s="84"/>
      <c r="EC62" s="84"/>
      <c r="ED62" s="84"/>
      <c r="EE62" s="84"/>
      <c r="EF62" s="84"/>
      <c r="EG62" s="84"/>
      <c r="EH62" s="84"/>
      <c r="EI62" s="84"/>
      <c r="EJ62" s="84"/>
      <c r="EK62" s="84"/>
      <c r="EL62" s="84"/>
      <c r="EM62" s="84"/>
      <c r="EN62" s="84"/>
      <c r="EO62" s="84"/>
      <c r="EP62" s="84"/>
      <c r="EQ62" s="84"/>
      <c r="ER62" s="84"/>
      <c r="ES62" s="84"/>
      <c r="ET62" s="84"/>
      <c r="EU62" s="84"/>
      <c r="EV62" s="84"/>
      <c r="EW62" s="84"/>
      <c r="EX62" s="84"/>
      <c r="EY62" s="84"/>
      <c r="EZ62" s="84"/>
      <c r="FA62" s="84"/>
      <c r="FB62" s="84"/>
      <c r="FC62" s="84"/>
      <c r="FD62" s="84"/>
      <c r="FE62" s="84"/>
      <c r="FF62" s="84"/>
      <c r="FG62" s="84"/>
      <c r="FH62" s="84"/>
      <c r="FI62" s="84"/>
      <c r="FJ62" s="84"/>
      <c r="FK62" s="84"/>
      <c r="FL62" s="84"/>
      <c r="FM62" s="84"/>
      <c r="FN62" s="84"/>
      <c r="FO62" s="84"/>
      <c r="FP62" s="84"/>
      <c r="FQ62" s="84"/>
      <c r="FR62" s="84"/>
      <c r="FS62" s="84"/>
      <c r="FT62" s="84"/>
      <c r="FU62" s="84"/>
      <c r="FV62" s="84"/>
      <c r="FW62" s="84"/>
      <c r="FX62" s="84"/>
      <c r="FY62" s="84"/>
      <c r="FZ62" s="84"/>
      <c r="GA62" s="84"/>
      <c r="GB62" s="84"/>
      <c r="GC62" s="84"/>
      <c r="GD62" s="84"/>
      <c r="GE62" s="84"/>
      <c r="GF62" s="84"/>
      <c r="GG62" s="84"/>
      <c r="GH62" s="84"/>
      <c r="GI62" s="84"/>
      <c r="GJ62" s="84"/>
      <c r="GK62" s="84"/>
      <c r="GL62" s="84"/>
      <c r="GM62" s="84"/>
      <c r="GN62" s="84"/>
      <c r="GO62" s="84"/>
      <c r="GP62" s="84"/>
      <c r="GQ62" s="84"/>
      <c r="GR62" s="84"/>
      <c r="GS62" s="84"/>
      <c r="GT62" s="84"/>
      <c r="GU62" s="84"/>
      <c r="GV62" s="84"/>
      <c r="GW62" s="84"/>
      <c r="GX62" s="84"/>
      <c r="GY62" s="84"/>
      <c r="GZ62" s="84"/>
      <c r="HA62" s="84"/>
      <c r="HB62" s="84"/>
      <c r="HC62" s="84"/>
      <c r="HD62" s="84"/>
      <c r="HE62" s="84"/>
      <c r="HF62" s="84"/>
      <c r="HG62" s="84"/>
      <c r="HH62" s="84"/>
      <c r="HI62" s="84"/>
      <c r="HJ62" s="84"/>
      <c r="HK62" s="84"/>
      <c r="HL62" s="84"/>
      <c r="HM62" s="84"/>
      <c r="HN62" s="84"/>
      <c r="HO62" s="84"/>
      <c r="HP62" s="84"/>
      <c r="HQ62" s="84"/>
      <c r="HR62" s="84"/>
      <c r="HS62" s="84"/>
      <c r="HT62" s="84"/>
      <c r="HU62" s="84"/>
      <c r="HV62" s="84"/>
      <c r="HW62" s="84"/>
      <c r="HX62" s="84"/>
      <c r="HY62" s="84"/>
      <c r="HZ62" s="84"/>
      <c r="IA62" s="84"/>
      <c r="IB62" s="84"/>
      <c r="IC62" s="84"/>
      <c r="ID62" s="84"/>
      <c r="IE62" s="84"/>
      <c r="IF62" s="84"/>
      <c r="IG62" s="84"/>
      <c r="IH62" s="84"/>
      <c r="II62" s="84"/>
      <c r="IJ62" s="84"/>
      <c r="IK62" s="84"/>
      <c r="IL62" s="84"/>
      <c r="IM62" s="84"/>
      <c r="IN62" s="84"/>
      <c r="IO62" s="84"/>
      <c r="IP62" s="84"/>
      <c r="IQ62" s="84"/>
      <c r="IR62" s="84"/>
      <c r="IS62" s="84"/>
      <c r="IT62" s="84"/>
      <c r="IU62" s="84"/>
      <c r="IV62" s="84"/>
      <c r="IW62" s="84"/>
      <c r="IX62" s="84"/>
      <c r="IY62" s="84"/>
      <c r="IZ62" s="84"/>
      <c r="JA62" s="84"/>
      <c r="JB62" s="84"/>
      <c r="JG62" s="106"/>
    </row>
    <row r="63" spans="1:267" s="19" customFormat="1" ht="12" thickTop="1" x14ac:dyDescent="0.25">
      <c r="A63" s="76"/>
      <c r="B63" s="76"/>
      <c r="C63" s="77"/>
      <c r="D63" s="78"/>
      <c r="E63" s="79"/>
      <c r="F63" s="80"/>
      <c r="G63" s="80"/>
      <c r="H63" s="81"/>
      <c r="I63" s="82"/>
      <c r="J63" s="83"/>
      <c r="K63" s="76"/>
      <c r="L63" s="76"/>
      <c r="M63" s="76"/>
      <c r="N63" s="76"/>
      <c r="O63" s="76"/>
      <c r="P63" s="76"/>
      <c r="Q63" s="76"/>
      <c r="R63" s="76"/>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M63" s="76"/>
      <c r="CN63" s="76"/>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c r="DM63" s="76"/>
      <c r="DN63" s="76"/>
      <c r="DO63" s="76"/>
      <c r="DP63" s="76"/>
      <c r="DQ63" s="76"/>
      <c r="DR63" s="76"/>
      <c r="DS63" s="76"/>
      <c r="DT63" s="76"/>
      <c r="DU63" s="76"/>
      <c r="DV63" s="76"/>
      <c r="DW63" s="76"/>
      <c r="DX63" s="76"/>
      <c r="DY63" s="76"/>
      <c r="DZ63" s="76"/>
      <c r="EA63" s="76"/>
      <c r="EB63" s="76"/>
      <c r="EC63" s="76"/>
      <c r="ED63" s="76"/>
      <c r="EE63" s="76"/>
      <c r="EF63" s="76"/>
      <c r="EG63" s="76"/>
      <c r="EH63" s="76"/>
      <c r="EI63" s="76"/>
      <c r="EJ63" s="76"/>
      <c r="EK63" s="76"/>
      <c r="EL63" s="76"/>
      <c r="EM63" s="76"/>
      <c r="EN63" s="76"/>
      <c r="EO63" s="76"/>
      <c r="EP63" s="76"/>
      <c r="EQ63" s="76"/>
      <c r="ER63" s="76"/>
      <c r="ES63" s="76"/>
      <c r="ET63" s="76"/>
      <c r="EU63" s="76"/>
      <c r="EV63" s="76"/>
      <c r="EW63" s="76"/>
      <c r="EX63" s="76"/>
      <c r="EY63" s="76"/>
      <c r="EZ63" s="76"/>
      <c r="FA63" s="76"/>
      <c r="FB63" s="76"/>
      <c r="FC63" s="76"/>
      <c r="FD63" s="76"/>
      <c r="FE63" s="76"/>
      <c r="FF63" s="76"/>
      <c r="FG63" s="76"/>
      <c r="FH63" s="76"/>
      <c r="FI63" s="76"/>
      <c r="FJ63" s="76"/>
      <c r="FK63" s="76"/>
      <c r="FL63" s="76"/>
      <c r="FM63" s="76"/>
      <c r="FN63" s="76"/>
      <c r="FO63" s="76"/>
      <c r="FP63" s="76"/>
      <c r="FQ63" s="76"/>
      <c r="FR63" s="76"/>
      <c r="FS63" s="76"/>
      <c r="FT63" s="76"/>
      <c r="FU63" s="76"/>
      <c r="FV63" s="76"/>
      <c r="FW63" s="76"/>
      <c r="FX63" s="76"/>
      <c r="FY63" s="76"/>
      <c r="FZ63" s="76"/>
      <c r="GA63" s="76"/>
      <c r="GB63" s="76"/>
      <c r="GC63" s="76"/>
      <c r="GD63" s="76"/>
      <c r="GE63" s="76"/>
      <c r="GF63" s="76"/>
      <c r="GG63" s="76"/>
      <c r="GH63" s="76"/>
      <c r="GI63" s="76"/>
      <c r="GJ63" s="76"/>
      <c r="GK63" s="76"/>
      <c r="GL63" s="76"/>
      <c r="GM63" s="76"/>
      <c r="GN63" s="76"/>
      <c r="GO63" s="76"/>
      <c r="GP63" s="76"/>
      <c r="GQ63" s="76"/>
      <c r="GR63" s="76"/>
      <c r="GS63" s="76"/>
      <c r="GT63" s="76"/>
      <c r="GU63" s="76"/>
      <c r="GV63" s="76"/>
      <c r="GW63" s="76"/>
      <c r="GX63" s="76"/>
      <c r="GY63" s="76"/>
      <c r="GZ63" s="76"/>
      <c r="HA63" s="76"/>
      <c r="HB63" s="76"/>
      <c r="HC63" s="76"/>
      <c r="HD63" s="76"/>
      <c r="HE63" s="76"/>
      <c r="HF63" s="76"/>
      <c r="HG63" s="76"/>
      <c r="HH63" s="76"/>
      <c r="HI63" s="76"/>
      <c r="HJ63" s="76"/>
      <c r="HK63" s="76"/>
      <c r="HL63" s="76"/>
      <c r="HM63" s="76"/>
      <c r="HN63" s="76"/>
      <c r="HO63" s="76"/>
      <c r="HP63" s="76"/>
      <c r="HQ63" s="76"/>
      <c r="HR63" s="76"/>
      <c r="HS63" s="76"/>
      <c r="HT63" s="76"/>
      <c r="HU63" s="76"/>
      <c r="HV63" s="76"/>
      <c r="HW63" s="76"/>
      <c r="HX63" s="76"/>
      <c r="HY63" s="76"/>
      <c r="HZ63" s="76"/>
      <c r="IA63" s="76"/>
      <c r="IB63" s="76"/>
      <c r="IC63" s="76"/>
      <c r="ID63" s="76"/>
      <c r="IE63" s="76"/>
      <c r="IF63" s="76"/>
      <c r="IG63" s="76"/>
      <c r="IH63" s="76"/>
      <c r="II63" s="76"/>
      <c r="IJ63" s="76"/>
      <c r="IK63" s="76"/>
      <c r="IL63" s="76"/>
      <c r="IM63" s="76"/>
      <c r="IN63" s="76"/>
      <c r="IO63" s="76"/>
      <c r="IP63" s="76"/>
      <c r="IQ63" s="76"/>
      <c r="IR63" s="76"/>
      <c r="IS63" s="76"/>
      <c r="IT63" s="76"/>
      <c r="IU63" s="76"/>
      <c r="IV63" s="76"/>
      <c r="IW63" s="76"/>
      <c r="IX63" s="76"/>
      <c r="IY63" s="76"/>
      <c r="IZ63" s="76"/>
      <c r="JA63" s="76"/>
      <c r="JB63" s="76"/>
      <c r="JG63" s="89"/>
    </row>
    <row r="64" spans="1:267" ht="13.8" x14ac:dyDescent="0.25">
      <c r="A64" s="1" t="s">
        <v>26</v>
      </c>
      <c r="B64" s="1"/>
      <c r="C64" s="118" t="s">
        <v>29</v>
      </c>
    </row>
    <row r="65" spans="1:267" x14ac:dyDescent="0.25">
      <c r="A65" s="1" t="s">
        <v>27</v>
      </c>
      <c r="B65" s="1"/>
      <c r="C65" s="68" t="s">
        <v>28</v>
      </c>
    </row>
    <row r="66" spans="1:267" s="19" customFormat="1" ht="11.4" x14ac:dyDescent="0.25">
      <c r="A66" s="76"/>
      <c r="B66" s="76"/>
      <c r="C66" s="77"/>
      <c r="D66" s="78"/>
      <c r="E66" s="79"/>
      <c r="F66" s="80"/>
      <c r="G66" s="80"/>
      <c r="H66" s="81"/>
      <c r="I66" s="82"/>
      <c r="J66" s="83"/>
      <c r="K66" s="76"/>
      <c r="L66" s="76"/>
      <c r="M66" s="76"/>
      <c r="N66" s="76"/>
      <c r="O66" s="76"/>
      <c r="P66" s="76"/>
      <c r="Q66" s="76"/>
      <c r="R66" s="76"/>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M66" s="76"/>
      <c r="CN66" s="76"/>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c r="DM66" s="76"/>
      <c r="DN66" s="76"/>
      <c r="DO66" s="76"/>
      <c r="DP66" s="76"/>
      <c r="DQ66" s="76"/>
      <c r="DR66" s="76"/>
      <c r="DS66" s="76"/>
      <c r="DT66" s="76"/>
      <c r="DU66" s="76"/>
      <c r="DV66" s="76"/>
      <c r="DW66" s="76"/>
      <c r="DX66" s="76"/>
      <c r="DY66" s="76"/>
      <c r="DZ66" s="76"/>
      <c r="EA66" s="76"/>
      <c r="EB66" s="76"/>
      <c r="EC66" s="76"/>
      <c r="ED66" s="76"/>
      <c r="EE66" s="76"/>
      <c r="EF66" s="76"/>
      <c r="EG66" s="76"/>
      <c r="EH66" s="76"/>
      <c r="EI66" s="76"/>
      <c r="EJ66" s="76"/>
      <c r="EK66" s="76"/>
      <c r="EL66" s="76"/>
      <c r="EM66" s="76"/>
      <c r="EN66" s="76"/>
      <c r="EO66" s="76"/>
      <c r="EP66" s="76"/>
      <c r="EQ66" s="76"/>
      <c r="ER66" s="76"/>
      <c r="ES66" s="76"/>
      <c r="ET66" s="76"/>
      <c r="EU66" s="76"/>
      <c r="EV66" s="76"/>
      <c r="EW66" s="76"/>
      <c r="EX66" s="76"/>
      <c r="EY66" s="76"/>
      <c r="EZ66" s="76"/>
      <c r="FA66" s="76"/>
      <c r="FB66" s="76"/>
      <c r="FC66" s="76"/>
      <c r="FD66" s="76"/>
      <c r="FE66" s="76"/>
      <c r="FF66" s="76"/>
      <c r="FG66" s="76"/>
      <c r="FH66" s="76"/>
      <c r="FI66" s="76"/>
      <c r="FJ66" s="76"/>
      <c r="FK66" s="76"/>
      <c r="FL66" s="76"/>
      <c r="FM66" s="76"/>
      <c r="FN66" s="76"/>
      <c r="FO66" s="76"/>
      <c r="FP66" s="76"/>
      <c r="FQ66" s="76"/>
      <c r="FR66" s="76"/>
      <c r="FS66" s="76"/>
      <c r="FT66" s="76"/>
      <c r="FU66" s="76"/>
      <c r="FV66" s="76"/>
      <c r="FW66" s="76"/>
      <c r="FX66" s="76"/>
      <c r="FY66" s="76"/>
      <c r="FZ66" s="76"/>
      <c r="GA66" s="76"/>
      <c r="GB66" s="76"/>
      <c r="GC66" s="76"/>
      <c r="GD66" s="76"/>
      <c r="GE66" s="76"/>
      <c r="GF66" s="76"/>
      <c r="GG66" s="76"/>
      <c r="GH66" s="76"/>
      <c r="GI66" s="76"/>
      <c r="GJ66" s="76"/>
      <c r="GK66" s="76"/>
      <c r="GL66" s="76"/>
      <c r="GM66" s="76"/>
      <c r="GN66" s="76"/>
      <c r="GO66" s="76"/>
      <c r="GP66" s="76"/>
      <c r="GQ66" s="76"/>
      <c r="GR66" s="76"/>
      <c r="GS66" s="76"/>
      <c r="GT66" s="76"/>
      <c r="GU66" s="76"/>
      <c r="GV66" s="76"/>
      <c r="GW66" s="76"/>
      <c r="GX66" s="76"/>
      <c r="GY66" s="76"/>
      <c r="GZ66" s="76"/>
      <c r="HA66" s="76"/>
      <c r="HB66" s="76"/>
      <c r="HC66" s="76"/>
      <c r="HD66" s="76"/>
      <c r="HE66" s="76"/>
      <c r="HF66" s="76"/>
      <c r="HG66" s="76"/>
      <c r="HH66" s="76"/>
      <c r="HI66" s="76"/>
      <c r="HJ66" s="76"/>
      <c r="HK66" s="76"/>
      <c r="HL66" s="76"/>
      <c r="HM66" s="76"/>
      <c r="HN66" s="76"/>
      <c r="HO66" s="76"/>
      <c r="HP66" s="76"/>
      <c r="HQ66" s="76"/>
      <c r="HR66" s="76"/>
      <c r="HS66" s="76"/>
      <c r="HT66" s="76"/>
      <c r="HU66" s="76"/>
      <c r="HV66" s="76"/>
      <c r="HW66" s="76"/>
      <c r="HX66" s="76"/>
      <c r="HY66" s="76"/>
      <c r="HZ66" s="76"/>
      <c r="IA66" s="76"/>
      <c r="IB66" s="76"/>
      <c r="IC66" s="76"/>
      <c r="ID66" s="76"/>
      <c r="IE66" s="76"/>
      <c r="IF66" s="76"/>
      <c r="IG66" s="76"/>
      <c r="IH66" s="76"/>
      <c r="II66" s="76"/>
      <c r="IJ66" s="76"/>
      <c r="IK66" s="76"/>
      <c r="IL66" s="76"/>
      <c r="IM66" s="76"/>
      <c r="IN66" s="76"/>
      <c r="IO66" s="76"/>
      <c r="IP66" s="76"/>
      <c r="IQ66" s="76"/>
      <c r="IR66" s="76"/>
      <c r="IS66" s="76"/>
      <c r="IT66" s="76"/>
      <c r="IU66" s="76"/>
      <c r="IV66" s="76"/>
      <c r="IW66" s="76"/>
      <c r="IX66" s="76"/>
      <c r="IY66" s="76"/>
      <c r="IZ66" s="76"/>
      <c r="JA66" s="76"/>
      <c r="JB66" s="76"/>
      <c r="JG66" s="89"/>
    </row>
    <row r="67" spans="1:267" s="19" customFormat="1" ht="11.4" x14ac:dyDescent="0.25">
      <c r="A67" s="76"/>
      <c r="B67" s="76"/>
      <c r="C67" s="77"/>
      <c r="D67" s="78"/>
      <c r="E67" s="79"/>
      <c r="F67" s="80"/>
      <c r="G67" s="80"/>
      <c r="H67" s="81"/>
      <c r="I67" s="82"/>
      <c r="J67" s="83"/>
      <c r="K67" s="76"/>
      <c r="L67" s="76"/>
      <c r="M67" s="76"/>
      <c r="N67" s="76"/>
      <c r="O67" s="76"/>
      <c r="P67" s="76"/>
      <c r="Q67" s="76"/>
      <c r="R67" s="76"/>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M67" s="76"/>
      <c r="CN67" s="76"/>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c r="DM67" s="76"/>
      <c r="DN67" s="76"/>
      <c r="DO67" s="76"/>
      <c r="DP67" s="76"/>
      <c r="DQ67" s="76"/>
      <c r="DR67" s="76"/>
      <c r="DS67" s="76"/>
      <c r="DT67" s="76"/>
      <c r="DU67" s="76"/>
      <c r="DV67" s="76"/>
      <c r="DW67" s="76"/>
      <c r="DX67" s="76"/>
      <c r="DY67" s="76"/>
      <c r="DZ67" s="76"/>
      <c r="EA67" s="76"/>
      <c r="EB67" s="76"/>
      <c r="EC67" s="76"/>
      <c r="ED67" s="76"/>
      <c r="EE67" s="76"/>
      <c r="EF67" s="76"/>
      <c r="EG67" s="76"/>
      <c r="EH67" s="76"/>
      <c r="EI67" s="76"/>
      <c r="EJ67" s="76"/>
      <c r="EK67" s="76"/>
      <c r="EL67" s="76"/>
      <c r="EM67" s="76"/>
      <c r="EN67" s="76"/>
      <c r="EO67" s="76"/>
      <c r="EP67" s="76"/>
      <c r="EQ67" s="76"/>
      <c r="ER67" s="76"/>
      <c r="ES67" s="76"/>
      <c r="ET67" s="76"/>
      <c r="EU67" s="76"/>
      <c r="EV67" s="76"/>
      <c r="EW67" s="76"/>
      <c r="EX67" s="76"/>
      <c r="EY67" s="76"/>
      <c r="EZ67" s="76"/>
      <c r="FA67" s="76"/>
      <c r="FB67" s="76"/>
      <c r="FC67" s="76"/>
      <c r="FD67" s="76"/>
      <c r="FE67" s="76"/>
      <c r="FF67" s="76"/>
      <c r="FG67" s="76"/>
      <c r="FH67" s="76"/>
      <c r="FI67" s="76"/>
      <c r="FJ67" s="76"/>
      <c r="FK67" s="76"/>
      <c r="FL67" s="76"/>
      <c r="FM67" s="76"/>
      <c r="FN67" s="76"/>
      <c r="FO67" s="76"/>
      <c r="FP67" s="76"/>
      <c r="FQ67" s="76"/>
      <c r="FR67" s="76"/>
      <c r="FS67" s="76"/>
      <c r="FT67" s="76"/>
      <c r="FU67" s="76"/>
      <c r="FV67" s="76"/>
      <c r="FW67" s="76"/>
      <c r="FX67" s="76"/>
      <c r="FY67" s="76"/>
      <c r="FZ67" s="76"/>
      <c r="GA67" s="76"/>
      <c r="GB67" s="76"/>
      <c r="GC67" s="76"/>
      <c r="GD67" s="76"/>
      <c r="GE67" s="76"/>
      <c r="GF67" s="76"/>
      <c r="GG67" s="76"/>
      <c r="GH67" s="76"/>
      <c r="GI67" s="76"/>
      <c r="GJ67" s="76"/>
      <c r="GK67" s="76"/>
      <c r="GL67" s="76"/>
      <c r="GM67" s="76"/>
      <c r="GN67" s="76"/>
      <c r="GO67" s="76"/>
      <c r="GP67" s="76"/>
      <c r="GQ67" s="76"/>
      <c r="GR67" s="76"/>
      <c r="GS67" s="76"/>
      <c r="GT67" s="76"/>
      <c r="GU67" s="76"/>
      <c r="GV67" s="76"/>
      <c r="GW67" s="76"/>
      <c r="GX67" s="76"/>
      <c r="GY67" s="76"/>
      <c r="GZ67" s="76"/>
      <c r="HA67" s="76"/>
      <c r="HB67" s="76"/>
      <c r="HC67" s="76"/>
      <c r="HD67" s="76"/>
      <c r="HE67" s="76"/>
      <c r="HF67" s="76"/>
      <c r="HG67" s="76"/>
      <c r="HH67" s="76"/>
      <c r="HI67" s="76"/>
      <c r="HJ67" s="76"/>
      <c r="HK67" s="76"/>
      <c r="HL67" s="76"/>
      <c r="HM67" s="76"/>
      <c r="HN67" s="76"/>
      <c r="HO67" s="76"/>
      <c r="HP67" s="76"/>
      <c r="HQ67" s="76"/>
      <c r="HR67" s="76"/>
      <c r="HS67" s="76"/>
      <c r="HT67" s="76"/>
      <c r="HU67" s="76"/>
      <c r="HV67" s="76"/>
      <c r="HW67" s="76"/>
      <c r="HX67" s="76"/>
      <c r="HY67" s="76"/>
      <c r="HZ67" s="76"/>
      <c r="IA67" s="76"/>
      <c r="IB67" s="76"/>
      <c r="IC67" s="76"/>
      <c r="ID67" s="76"/>
      <c r="IE67" s="76"/>
      <c r="IF67" s="76"/>
      <c r="IG67" s="76"/>
      <c r="IH67" s="76"/>
      <c r="II67" s="76"/>
      <c r="IJ67" s="76"/>
      <c r="IK67" s="76"/>
      <c r="IL67" s="76"/>
      <c r="IM67" s="76"/>
      <c r="IN67" s="76"/>
      <c r="IO67" s="76"/>
      <c r="IP67" s="76"/>
      <c r="IQ67" s="76"/>
      <c r="IR67" s="76"/>
      <c r="IS67" s="76"/>
      <c r="IT67" s="76"/>
      <c r="IU67" s="76"/>
      <c r="IV67" s="76"/>
      <c r="IW67" s="76"/>
      <c r="IX67" s="76"/>
      <c r="IY67" s="76"/>
      <c r="IZ67" s="76"/>
      <c r="JA67" s="76"/>
      <c r="JB67" s="76"/>
      <c r="JG67" s="89"/>
    </row>
    <row r="68" spans="1:267" s="19" customFormat="1" ht="11.4" x14ac:dyDescent="0.25">
      <c r="A68" s="76"/>
      <c r="B68" s="76"/>
      <c r="C68" s="77"/>
      <c r="D68" s="78"/>
      <c r="E68" s="79"/>
      <c r="F68" s="80"/>
      <c r="G68" s="80"/>
      <c r="H68" s="81"/>
      <c r="I68" s="82"/>
      <c r="J68" s="83"/>
      <c r="K68" s="76"/>
      <c r="L68" s="76"/>
      <c r="M68" s="76"/>
      <c r="N68" s="76"/>
      <c r="O68" s="76"/>
      <c r="P68" s="76"/>
      <c r="Q68" s="76"/>
      <c r="R68" s="76"/>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M68" s="76"/>
      <c r="CN68" s="76"/>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c r="DM68" s="76"/>
      <c r="DN68" s="76"/>
      <c r="DO68" s="76"/>
      <c r="DP68" s="76"/>
      <c r="DQ68" s="76"/>
      <c r="DR68" s="76"/>
      <c r="DS68" s="76"/>
      <c r="DT68" s="76"/>
      <c r="DU68" s="76"/>
      <c r="DV68" s="76"/>
      <c r="DW68" s="76"/>
      <c r="DX68" s="76"/>
      <c r="DY68" s="76"/>
      <c r="DZ68" s="76"/>
      <c r="EA68" s="76"/>
      <c r="EB68" s="76"/>
      <c r="EC68" s="76"/>
      <c r="ED68" s="76"/>
      <c r="EE68" s="76"/>
      <c r="EF68" s="76"/>
      <c r="EG68" s="76"/>
      <c r="EH68" s="76"/>
      <c r="EI68" s="76"/>
      <c r="EJ68" s="76"/>
      <c r="EK68" s="76"/>
      <c r="EL68" s="76"/>
      <c r="EM68" s="76"/>
      <c r="EN68" s="76"/>
      <c r="EO68" s="76"/>
      <c r="EP68" s="76"/>
      <c r="EQ68" s="76"/>
      <c r="ER68" s="76"/>
      <c r="ES68" s="76"/>
      <c r="ET68" s="76"/>
      <c r="EU68" s="76"/>
      <c r="EV68" s="76"/>
      <c r="EW68" s="76"/>
      <c r="EX68" s="76"/>
      <c r="EY68" s="76"/>
      <c r="EZ68" s="76"/>
      <c r="FA68" s="76"/>
      <c r="FB68" s="76"/>
      <c r="FC68" s="76"/>
      <c r="FD68" s="76"/>
      <c r="FE68" s="76"/>
      <c r="FF68" s="76"/>
      <c r="FG68" s="76"/>
      <c r="FH68" s="76"/>
      <c r="FI68" s="76"/>
      <c r="FJ68" s="76"/>
      <c r="FK68" s="76"/>
      <c r="FL68" s="76"/>
      <c r="FM68" s="76"/>
      <c r="FN68" s="76"/>
      <c r="FO68" s="76"/>
      <c r="FP68" s="76"/>
      <c r="FQ68" s="76"/>
      <c r="FR68" s="76"/>
      <c r="FS68" s="76"/>
      <c r="FT68" s="76"/>
      <c r="FU68" s="76"/>
      <c r="FV68" s="76"/>
      <c r="FW68" s="76"/>
      <c r="FX68" s="76"/>
      <c r="FY68" s="76"/>
      <c r="FZ68" s="76"/>
      <c r="GA68" s="76"/>
      <c r="GB68" s="76"/>
      <c r="GC68" s="76"/>
      <c r="GD68" s="76"/>
      <c r="GE68" s="76"/>
      <c r="GF68" s="76"/>
      <c r="GG68" s="76"/>
      <c r="GH68" s="76"/>
      <c r="GI68" s="76"/>
      <c r="GJ68" s="76"/>
      <c r="GK68" s="76"/>
      <c r="GL68" s="76"/>
      <c r="GM68" s="76"/>
      <c r="GN68" s="76"/>
      <c r="GO68" s="76"/>
      <c r="GP68" s="76"/>
      <c r="GQ68" s="76"/>
      <c r="GR68" s="76"/>
      <c r="GS68" s="76"/>
      <c r="GT68" s="76"/>
      <c r="GU68" s="76"/>
      <c r="GV68" s="76"/>
      <c r="GW68" s="76"/>
      <c r="GX68" s="76"/>
      <c r="GY68" s="76"/>
      <c r="GZ68" s="76"/>
      <c r="HA68" s="76"/>
      <c r="HB68" s="76"/>
      <c r="HC68" s="76"/>
      <c r="HD68" s="76"/>
      <c r="HE68" s="76"/>
      <c r="HF68" s="76"/>
      <c r="HG68" s="76"/>
      <c r="HH68" s="76"/>
      <c r="HI68" s="76"/>
      <c r="HJ68" s="76"/>
      <c r="HK68" s="76"/>
      <c r="HL68" s="76"/>
      <c r="HM68" s="76"/>
      <c r="HN68" s="76"/>
      <c r="HO68" s="76"/>
      <c r="HP68" s="76"/>
      <c r="HQ68" s="76"/>
      <c r="HR68" s="76"/>
      <c r="HS68" s="76"/>
      <c r="HT68" s="76"/>
      <c r="HU68" s="76"/>
      <c r="HV68" s="76"/>
      <c r="HW68" s="76"/>
      <c r="HX68" s="76"/>
      <c r="HY68" s="76"/>
      <c r="HZ68" s="76"/>
      <c r="IA68" s="76"/>
      <c r="IB68" s="76"/>
      <c r="IC68" s="76"/>
      <c r="ID68" s="76"/>
      <c r="IE68" s="76"/>
      <c r="IF68" s="76"/>
      <c r="IG68" s="76"/>
      <c r="IH68" s="76"/>
      <c r="II68" s="76"/>
      <c r="IJ68" s="76"/>
      <c r="IK68" s="76"/>
      <c r="IL68" s="76"/>
      <c r="IM68" s="76"/>
      <c r="IN68" s="76"/>
      <c r="IO68" s="76"/>
      <c r="IP68" s="76"/>
      <c r="IQ68" s="76"/>
      <c r="IR68" s="76"/>
      <c r="IS68" s="76"/>
      <c r="IT68" s="76"/>
      <c r="IU68" s="76"/>
      <c r="IV68" s="76"/>
      <c r="IW68" s="76"/>
      <c r="IX68" s="76"/>
      <c r="IY68" s="76"/>
      <c r="IZ68" s="76"/>
      <c r="JA68" s="76"/>
      <c r="JB68" s="76"/>
      <c r="JG68" s="89"/>
    </row>
    <row r="69" spans="1:267" s="19" customFormat="1" ht="11.4" x14ac:dyDescent="0.25">
      <c r="A69" s="76"/>
      <c r="B69" s="76"/>
      <c r="C69" s="77"/>
      <c r="D69" s="78"/>
      <c r="E69" s="79"/>
      <c r="F69" s="80"/>
      <c r="G69" s="80"/>
      <c r="H69" s="81"/>
      <c r="I69" s="82"/>
      <c r="J69" s="83"/>
      <c r="K69" s="76"/>
      <c r="L69" s="76"/>
      <c r="M69" s="76"/>
      <c r="N69" s="76"/>
      <c r="O69" s="76"/>
      <c r="P69" s="76"/>
      <c r="Q69" s="76"/>
      <c r="R69" s="76"/>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M69" s="76"/>
      <c r="CN69" s="76"/>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c r="DM69" s="76"/>
      <c r="DN69" s="76"/>
      <c r="DO69" s="76"/>
      <c r="DP69" s="76"/>
      <c r="DQ69" s="76"/>
      <c r="DR69" s="76"/>
      <c r="DS69" s="76"/>
      <c r="DT69" s="76"/>
      <c r="DU69" s="76"/>
      <c r="DV69" s="76"/>
      <c r="DW69" s="76"/>
      <c r="DX69" s="76"/>
      <c r="DY69" s="76"/>
      <c r="DZ69" s="76"/>
      <c r="EA69" s="76"/>
      <c r="EB69" s="76"/>
      <c r="EC69" s="76"/>
      <c r="ED69" s="76"/>
      <c r="EE69" s="76"/>
      <c r="EF69" s="76"/>
      <c r="EG69" s="76"/>
      <c r="EH69" s="76"/>
      <c r="EI69" s="76"/>
      <c r="EJ69" s="76"/>
      <c r="EK69" s="76"/>
      <c r="EL69" s="76"/>
      <c r="EM69" s="76"/>
      <c r="EN69" s="76"/>
      <c r="EO69" s="76"/>
      <c r="EP69" s="76"/>
      <c r="EQ69" s="76"/>
      <c r="ER69" s="76"/>
      <c r="ES69" s="76"/>
      <c r="ET69" s="76"/>
      <c r="EU69" s="76"/>
      <c r="EV69" s="76"/>
      <c r="EW69" s="76"/>
      <c r="EX69" s="76"/>
      <c r="EY69" s="76"/>
      <c r="EZ69" s="76"/>
      <c r="FA69" s="76"/>
      <c r="FB69" s="76"/>
      <c r="FC69" s="76"/>
      <c r="FD69" s="76"/>
      <c r="FE69" s="76"/>
      <c r="FF69" s="76"/>
      <c r="FG69" s="76"/>
      <c r="FH69" s="76"/>
      <c r="FI69" s="76"/>
      <c r="FJ69" s="76"/>
      <c r="FK69" s="76"/>
      <c r="FL69" s="76"/>
      <c r="FM69" s="76"/>
      <c r="FN69" s="76"/>
      <c r="FO69" s="76"/>
      <c r="FP69" s="76"/>
      <c r="FQ69" s="76"/>
      <c r="FR69" s="76"/>
      <c r="FS69" s="76"/>
      <c r="FT69" s="76"/>
      <c r="FU69" s="76"/>
      <c r="FV69" s="76"/>
      <c r="FW69" s="76"/>
      <c r="FX69" s="76"/>
      <c r="FY69" s="76"/>
      <c r="FZ69" s="76"/>
      <c r="GA69" s="76"/>
      <c r="GB69" s="76"/>
      <c r="GC69" s="76"/>
      <c r="GD69" s="76"/>
      <c r="GE69" s="76"/>
      <c r="GF69" s="76"/>
      <c r="GG69" s="76"/>
      <c r="GH69" s="76"/>
      <c r="GI69" s="76"/>
      <c r="GJ69" s="76"/>
      <c r="GK69" s="76"/>
      <c r="GL69" s="76"/>
      <c r="GM69" s="76"/>
      <c r="GN69" s="76"/>
      <c r="GO69" s="76"/>
      <c r="GP69" s="76"/>
      <c r="GQ69" s="76"/>
      <c r="GR69" s="76"/>
      <c r="GS69" s="76"/>
      <c r="GT69" s="76"/>
      <c r="GU69" s="76"/>
      <c r="GV69" s="76"/>
      <c r="GW69" s="76"/>
      <c r="GX69" s="76"/>
      <c r="GY69" s="76"/>
      <c r="GZ69" s="76"/>
      <c r="HA69" s="76"/>
      <c r="HB69" s="76"/>
      <c r="HC69" s="76"/>
      <c r="HD69" s="76"/>
      <c r="HE69" s="76"/>
      <c r="HF69" s="76"/>
      <c r="HG69" s="76"/>
      <c r="HH69" s="76"/>
      <c r="HI69" s="76"/>
      <c r="HJ69" s="76"/>
      <c r="HK69" s="76"/>
      <c r="HL69" s="76"/>
      <c r="HM69" s="76"/>
      <c r="HN69" s="76"/>
      <c r="HO69" s="76"/>
      <c r="HP69" s="76"/>
      <c r="HQ69" s="76"/>
      <c r="HR69" s="76"/>
      <c r="HS69" s="76"/>
      <c r="HT69" s="76"/>
      <c r="HU69" s="76"/>
      <c r="HV69" s="76"/>
      <c r="HW69" s="76"/>
      <c r="HX69" s="76"/>
      <c r="HY69" s="76"/>
      <c r="HZ69" s="76"/>
      <c r="IA69" s="76"/>
      <c r="IB69" s="76"/>
      <c r="IC69" s="76"/>
      <c r="ID69" s="76"/>
      <c r="IE69" s="76"/>
      <c r="IF69" s="76"/>
      <c r="IG69" s="76"/>
      <c r="IH69" s="76"/>
      <c r="II69" s="76"/>
      <c r="IJ69" s="76"/>
      <c r="IK69" s="76"/>
      <c r="IL69" s="76"/>
      <c r="IM69" s="76"/>
      <c r="IN69" s="76"/>
      <c r="IO69" s="76"/>
      <c r="IP69" s="76"/>
      <c r="IQ69" s="76"/>
      <c r="IR69" s="76"/>
      <c r="IS69" s="76"/>
      <c r="IT69" s="76"/>
      <c r="IU69" s="76"/>
      <c r="IV69" s="76"/>
      <c r="IW69" s="76"/>
      <c r="IX69" s="76"/>
      <c r="IY69" s="76"/>
      <c r="IZ69" s="76"/>
      <c r="JA69" s="76"/>
      <c r="JB69" s="76"/>
      <c r="JG69" s="89"/>
    </row>
    <row r="70" spans="1:267" s="19" customFormat="1" ht="11.4" x14ac:dyDescent="0.25">
      <c r="A70" s="76"/>
      <c r="B70" s="76"/>
      <c r="C70" s="77"/>
      <c r="D70" s="78"/>
      <c r="E70" s="79"/>
      <c r="F70" s="80"/>
      <c r="G70" s="80"/>
      <c r="H70" s="81"/>
      <c r="I70" s="82"/>
      <c r="J70" s="83"/>
      <c r="K70" s="76"/>
      <c r="L70" s="76"/>
      <c r="M70" s="76"/>
      <c r="N70" s="76"/>
      <c r="O70" s="76"/>
      <c r="P70" s="76"/>
      <c r="Q70" s="76"/>
      <c r="R70" s="76"/>
      <c r="S70" s="76"/>
      <c r="T70" s="76"/>
      <c r="U70" s="76"/>
      <c r="V70" s="76"/>
      <c r="W70" s="76"/>
      <c r="X70" s="76"/>
      <c r="Y70" s="76"/>
      <c r="Z70" s="76"/>
      <c r="AA70" s="76"/>
      <c r="AB70" s="76"/>
      <c r="AC70" s="76"/>
      <c r="AD70" s="76"/>
      <c r="AE70" s="76"/>
      <c r="AF70" s="76"/>
      <c r="AG70" s="76"/>
      <c r="AH70" s="76"/>
      <c r="AI70" s="76"/>
      <c r="AJ70" s="76"/>
      <c r="AK70" s="76"/>
      <c r="AL70" s="76"/>
      <c r="AM70" s="76"/>
      <c r="AN70" s="76"/>
      <c r="AO70" s="76"/>
      <c r="AP70" s="76"/>
      <c r="AQ70" s="76"/>
      <c r="AR70" s="76"/>
      <c r="AS70" s="76"/>
      <c r="AT70" s="76"/>
      <c r="AU70" s="76"/>
      <c r="AV70" s="76"/>
      <c r="AW70" s="76"/>
      <c r="AX70" s="76"/>
      <c r="AY70" s="76"/>
      <c r="AZ70" s="76"/>
      <c r="BA70" s="76"/>
      <c r="BB70" s="76"/>
      <c r="BC70" s="76"/>
      <c r="BD70" s="76"/>
      <c r="BE70" s="76"/>
      <c r="BF70" s="76"/>
      <c r="BG70" s="76"/>
      <c r="BH70" s="76"/>
      <c r="BI70" s="76"/>
      <c r="BJ70" s="76"/>
      <c r="BK70" s="76"/>
      <c r="BL70" s="76"/>
      <c r="BM70" s="76"/>
      <c r="BN70" s="76"/>
      <c r="BO70" s="76"/>
      <c r="BP70" s="76"/>
      <c r="BQ70" s="76"/>
      <c r="BR70" s="76"/>
      <c r="BS70" s="76"/>
      <c r="BT70" s="76"/>
      <c r="BU70" s="76"/>
      <c r="BV70" s="76"/>
      <c r="BW70" s="76"/>
      <c r="BX70" s="76"/>
      <c r="BY70" s="76"/>
      <c r="BZ70" s="76"/>
      <c r="CA70" s="76"/>
      <c r="CB70" s="76"/>
      <c r="CC70" s="76"/>
      <c r="CD70" s="76"/>
      <c r="CE70" s="76"/>
      <c r="CF70" s="76"/>
      <c r="CG70" s="76"/>
      <c r="CH70" s="76"/>
      <c r="CI70" s="76"/>
      <c r="CJ70" s="76"/>
      <c r="CK70" s="76"/>
      <c r="CL70" s="76"/>
      <c r="CM70" s="76"/>
      <c r="CN70" s="76"/>
      <c r="CO70" s="76"/>
      <c r="CP70" s="76"/>
      <c r="CQ70" s="76"/>
      <c r="CR70" s="76"/>
      <c r="CS70" s="76"/>
      <c r="CT70" s="76"/>
      <c r="CU70" s="76"/>
      <c r="CV70" s="76"/>
      <c r="CW70" s="76"/>
      <c r="CX70" s="76"/>
      <c r="CY70" s="76"/>
      <c r="CZ70" s="76"/>
      <c r="DA70" s="76"/>
      <c r="DB70" s="76"/>
      <c r="DC70" s="76"/>
      <c r="DD70" s="76"/>
      <c r="DE70" s="76"/>
      <c r="DF70" s="76"/>
      <c r="DG70" s="76"/>
      <c r="DH70" s="76"/>
      <c r="DI70" s="76"/>
      <c r="DJ70" s="76"/>
      <c r="DK70" s="76"/>
      <c r="DL70" s="76"/>
      <c r="DM70" s="76"/>
      <c r="DN70" s="76"/>
      <c r="DO70" s="76"/>
      <c r="DP70" s="76"/>
      <c r="DQ70" s="76"/>
      <c r="DR70" s="76"/>
      <c r="DS70" s="76"/>
      <c r="DT70" s="76"/>
      <c r="DU70" s="76"/>
      <c r="DV70" s="76"/>
      <c r="DW70" s="76"/>
      <c r="DX70" s="76"/>
      <c r="DY70" s="76"/>
      <c r="DZ70" s="76"/>
      <c r="EA70" s="76"/>
      <c r="EB70" s="76"/>
      <c r="EC70" s="76"/>
      <c r="ED70" s="76"/>
      <c r="EE70" s="76"/>
      <c r="EF70" s="76"/>
      <c r="EG70" s="76"/>
      <c r="EH70" s="76"/>
      <c r="EI70" s="76"/>
      <c r="EJ70" s="76"/>
      <c r="EK70" s="76"/>
      <c r="EL70" s="76"/>
      <c r="EM70" s="76"/>
      <c r="EN70" s="76"/>
      <c r="EO70" s="76"/>
      <c r="EP70" s="76"/>
      <c r="EQ70" s="76"/>
      <c r="ER70" s="76"/>
      <c r="ES70" s="76"/>
      <c r="ET70" s="76"/>
      <c r="EU70" s="76"/>
      <c r="EV70" s="76"/>
      <c r="EW70" s="76"/>
      <c r="EX70" s="76"/>
      <c r="EY70" s="76"/>
      <c r="EZ70" s="76"/>
      <c r="FA70" s="76"/>
      <c r="FB70" s="76"/>
      <c r="FC70" s="76"/>
      <c r="FD70" s="76"/>
      <c r="FE70" s="76"/>
      <c r="FF70" s="76"/>
      <c r="FG70" s="76"/>
      <c r="FH70" s="76"/>
      <c r="FI70" s="76"/>
      <c r="FJ70" s="76"/>
      <c r="FK70" s="76"/>
      <c r="FL70" s="76"/>
      <c r="FM70" s="76"/>
      <c r="FN70" s="76"/>
      <c r="FO70" s="76"/>
      <c r="FP70" s="76"/>
      <c r="FQ70" s="76"/>
      <c r="FR70" s="76"/>
      <c r="FS70" s="76"/>
      <c r="FT70" s="76"/>
      <c r="FU70" s="76"/>
      <c r="FV70" s="76"/>
      <c r="FW70" s="76"/>
      <c r="FX70" s="76"/>
      <c r="FY70" s="76"/>
      <c r="FZ70" s="76"/>
      <c r="GA70" s="76"/>
      <c r="GB70" s="76"/>
      <c r="GC70" s="76"/>
      <c r="GD70" s="76"/>
      <c r="GE70" s="76"/>
      <c r="GF70" s="76"/>
      <c r="GG70" s="76"/>
      <c r="GH70" s="76"/>
      <c r="GI70" s="76"/>
      <c r="GJ70" s="76"/>
      <c r="GK70" s="76"/>
      <c r="GL70" s="76"/>
      <c r="GM70" s="76"/>
      <c r="GN70" s="76"/>
      <c r="GO70" s="76"/>
      <c r="GP70" s="76"/>
      <c r="GQ70" s="76"/>
      <c r="GR70" s="76"/>
      <c r="GS70" s="76"/>
      <c r="GT70" s="76"/>
      <c r="GU70" s="76"/>
      <c r="GV70" s="76"/>
      <c r="GW70" s="76"/>
      <c r="GX70" s="76"/>
      <c r="GY70" s="76"/>
      <c r="GZ70" s="76"/>
      <c r="HA70" s="76"/>
      <c r="HB70" s="76"/>
      <c r="HC70" s="76"/>
      <c r="HD70" s="76"/>
      <c r="HE70" s="76"/>
      <c r="HF70" s="76"/>
      <c r="HG70" s="76"/>
      <c r="HH70" s="76"/>
      <c r="HI70" s="76"/>
      <c r="HJ70" s="76"/>
      <c r="HK70" s="76"/>
      <c r="HL70" s="76"/>
      <c r="HM70" s="76"/>
      <c r="HN70" s="76"/>
      <c r="HO70" s="76"/>
      <c r="HP70" s="76"/>
      <c r="HQ70" s="76"/>
      <c r="HR70" s="76"/>
      <c r="HS70" s="76"/>
      <c r="HT70" s="76"/>
      <c r="HU70" s="76"/>
      <c r="HV70" s="76"/>
      <c r="HW70" s="76"/>
      <c r="HX70" s="76"/>
      <c r="HY70" s="76"/>
      <c r="HZ70" s="76"/>
      <c r="IA70" s="76"/>
      <c r="IB70" s="76"/>
      <c r="IC70" s="76"/>
      <c r="ID70" s="76"/>
      <c r="IE70" s="76"/>
      <c r="IF70" s="76"/>
      <c r="IG70" s="76"/>
      <c r="IH70" s="76"/>
      <c r="II70" s="76"/>
      <c r="IJ70" s="76"/>
      <c r="IK70" s="76"/>
      <c r="IL70" s="76"/>
      <c r="IM70" s="76"/>
      <c r="IN70" s="76"/>
      <c r="IO70" s="76"/>
      <c r="IP70" s="76"/>
      <c r="IQ70" s="76"/>
      <c r="IR70" s="76"/>
      <c r="IS70" s="76"/>
      <c r="IT70" s="76"/>
      <c r="IU70" s="76"/>
      <c r="IV70" s="76"/>
      <c r="IW70" s="76"/>
      <c r="IX70" s="76"/>
      <c r="IY70" s="76"/>
      <c r="IZ70" s="76"/>
      <c r="JA70" s="76"/>
      <c r="JB70" s="76"/>
      <c r="JG70" s="89"/>
    </row>
    <row r="71" spans="1:267" s="19" customFormat="1" ht="11.4" x14ac:dyDescent="0.25">
      <c r="A71" s="76"/>
      <c r="B71" s="76"/>
      <c r="C71" s="77"/>
      <c r="D71" s="78"/>
      <c r="E71" s="79"/>
      <c r="F71" s="80"/>
      <c r="G71" s="80"/>
      <c r="H71" s="81"/>
      <c r="I71" s="82"/>
      <c r="J71" s="83"/>
      <c r="K71" s="76"/>
      <c r="L71" s="76"/>
      <c r="M71" s="76"/>
      <c r="N71" s="76"/>
      <c r="O71" s="76"/>
      <c r="P71" s="76"/>
      <c r="Q71" s="76"/>
      <c r="R71" s="76"/>
      <c r="S71" s="76"/>
      <c r="T71" s="76"/>
      <c r="U71" s="76"/>
      <c r="V71" s="76"/>
      <c r="W71" s="76"/>
      <c r="X71" s="76"/>
      <c r="Y71" s="76"/>
      <c r="Z71" s="76"/>
      <c r="AA71" s="76"/>
      <c r="AB71" s="76"/>
      <c r="AC71" s="76"/>
      <c r="AD71" s="76"/>
      <c r="AE71" s="76"/>
      <c r="AF71" s="76"/>
      <c r="AG71" s="76"/>
      <c r="AH71" s="76"/>
      <c r="AI71" s="76"/>
      <c r="AJ71" s="76"/>
      <c r="AK71" s="76"/>
      <c r="AL71" s="76"/>
      <c r="AM71" s="76"/>
      <c r="AN71" s="76"/>
      <c r="AO71" s="76"/>
      <c r="AP71" s="76"/>
      <c r="AQ71" s="76"/>
      <c r="AR71" s="76"/>
      <c r="AS71" s="76"/>
      <c r="AT71" s="76"/>
      <c r="AU71" s="76"/>
      <c r="AV71" s="76"/>
      <c r="AW71" s="76"/>
      <c r="AX71" s="76"/>
      <c r="AY71" s="76"/>
      <c r="AZ71" s="76"/>
      <c r="BA71" s="76"/>
      <c r="BB71" s="76"/>
      <c r="BC71" s="76"/>
      <c r="BD71" s="76"/>
      <c r="BE71" s="76"/>
      <c r="BF71" s="76"/>
      <c r="BG71" s="76"/>
      <c r="BH71" s="76"/>
      <c r="BI71" s="76"/>
      <c r="BJ71" s="76"/>
      <c r="BK71" s="76"/>
      <c r="BL71" s="76"/>
      <c r="BM71" s="76"/>
      <c r="BN71" s="76"/>
      <c r="BO71" s="76"/>
      <c r="BP71" s="76"/>
      <c r="BQ71" s="76"/>
      <c r="BR71" s="76"/>
      <c r="BS71" s="76"/>
      <c r="BT71" s="76"/>
      <c r="BU71" s="76"/>
      <c r="BV71" s="76"/>
      <c r="BW71" s="76"/>
      <c r="BX71" s="76"/>
      <c r="BY71" s="76"/>
      <c r="BZ71" s="76"/>
      <c r="CA71" s="76"/>
      <c r="CB71" s="76"/>
      <c r="CC71" s="76"/>
      <c r="CD71" s="76"/>
      <c r="CE71" s="76"/>
      <c r="CF71" s="76"/>
      <c r="CG71" s="76"/>
      <c r="CH71" s="76"/>
      <c r="CI71" s="76"/>
      <c r="CJ71" s="76"/>
      <c r="CK71" s="76"/>
      <c r="CL71" s="76"/>
      <c r="CM71" s="76"/>
      <c r="CN71" s="76"/>
      <c r="CO71" s="76"/>
      <c r="CP71" s="76"/>
      <c r="CQ71" s="76"/>
      <c r="CR71" s="76"/>
      <c r="CS71" s="76"/>
      <c r="CT71" s="76"/>
      <c r="CU71" s="76"/>
      <c r="CV71" s="76"/>
      <c r="CW71" s="76"/>
      <c r="CX71" s="76"/>
      <c r="CY71" s="76"/>
      <c r="CZ71" s="76"/>
      <c r="DA71" s="76"/>
      <c r="DB71" s="76"/>
      <c r="DC71" s="76"/>
      <c r="DD71" s="76"/>
      <c r="DE71" s="76"/>
      <c r="DF71" s="76"/>
      <c r="DG71" s="76"/>
      <c r="DH71" s="76"/>
      <c r="DI71" s="76"/>
      <c r="DJ71" s="76"/>
      <c r="DK71" s="76"/>
      <c r="DL71" s="76"/>
      <c r="DM71" s="76"/>
      <c r="DN71" s="76"/>
      <c r="DO71" s="76"/>
      <c r="DP71" s="76"/>
      <c r="DQ71" s="76"/>
      <c r="DR71" s="76"/>
      <c r="DS71" s="76"/>
      <c r="DT71" s="76"/>
      <c r="DU71" s="76"/>
      <c r="DV71" s="76"/>
      <c r="DW71" s="76"/>
      <c r="DX71" s="76"/>
      <c r="DY71" s="76"/>
      <c r="DZ71" s="76"/>
      <c r="EA71" s="76"/>
      <c r="EB71" s="76"/>
      <c r="EC71" s="76"/>
      <c r="ED71" s="76"/>
      <c r="EE71" s="76"/>
      <c r="EF71" s="76"/>
      <c r="EG71" s="76"/>
      <c r="EH71" s="76"/>
      <c r="EI71" s="76"/>
      <c r="EJ71" s="76"/>
      <c r="EK71" s="76"/>
      <c r="EL71" s="76"/>
      <c r="EM71" s="76"/>
      <c r="EN71" s="76"/>
      <c r="EO71" s="76"/>
      <c r="EP71" s="76"/>
      <c r="EQ71" s="76"/>
      <c r="ER71" s="76"/>
      <c r="ES71" s="76"/>
      <c r="ET71" s="76"/>
      <c r="EU71" s="76"/>
      <c r="EV71" s="76"/>
      <c r="EW71" s="76"/>
      <c r="EX71" s="76"/>
      <c r="EY71" s="76"/>
      <c r="EZ71" s="76"/>
      <c r="FA71" s="76"/>
      <c r="FB71" s="76"/>
      <c r="FC71" s="76"/>
      <c r="FD71" s="76"/>
      <c r="FE71" s="76"/>
      <c r="FF71" s="76"/>
      <c r="FG71" s="76"/>
      <c r="FH71" s="76"/>
      <c r="FI71" s="76"/>
      <c r="FJ71" s="76"/>
      <c r="FK71" s="76"/>
      <c r="FL71" s="76"/>
      <c r="FM71" s="76"/>
      <c r="FN71" s="76"/>
      <c r="FO71" s="76"/>
      <c r="FP71" s="76"/>
      <c r="FQ71" s="76"/>
      <c r="FR71" s="76"/>
      <c r="FS71" s="76"/>
      <c r="FT71" s="76"/>
      <c r="FU71" s="76"/>
      <c r="FV71" s="76"/>
      <c r="FW71" s="76"/>
      <c r="FX71" s="76"/>
      <c r="FY71" s="76"/>
      <c r="FZ71" s="76"/>
      <c r="GA71" s="76"/>
      <c r="GB71" s="76"/>
      <c r="GC71" s="76"/>
      <c r="GD71" s="76"/>
      <c r="GE71" s="76"/>
      <c r="GF71" s="76"/>
      <c r="GG71" s="76"/>
      <c r="GH71" s="76"/>
      <c r="GI71" s="76"/>
      <c r="GJ71" s="76"/>
      <c r="GK71" s="76"/>
      <c r="GL71" s="76"/>
      <c r="GM71" s="76"/>
      <c r="GN71" s="76"/>
      <c r="GO71" s="76"/>
      <c r="GP71" s="76"/>
      <c r="GQ71" s="76"/>
      <c r="GR71" s="76"/>
      <c r="GS71" s="76"/>
      <c r="GT71" s="76"/>
      <c r="GU71" s="76"/>
      <c r="GV71" s="76"/>
      <c r="GW71" s="76"/>
      <c r="GX71" s="76"/>
      <c r="GY71" s="76"/>
      <c r="GZ71" s="76"/>
      <c r="HA71" s="76"/>
      <c r="HB71" s="76"/>
      <c r="HC71" s="76"/>
      <c r="HD71" s="76"/>
      <c r="HE71" s="76"/>
      <c r="HF71" s="76"/>
      <c r="HG71" s="76"/>
      <c r="HH71" s="76"/>
      <c r="HI71" s="76"/>
      <c r="HJ71" s="76"/>
      <c r="HK71" s="76"/>
      <c r="HL71" s="76"/>
      <c r="HM71" s="76"/>
      <c r="HN71" s="76"/>
      <c r="HO71" s="76"/>
      <c r="HP71" s="76"/>
      <c r="HQ71" s="76"/>
      <c r="HR71" s="76"/>
      <c r="HS71" s="76"/>
      <c r="HT71" s="76"/>
      <c r="HU71" s="76"/>
      <c r="HV71" s="76"/>
      <c r="HW71" s="76"/>
      <c r="HX71" s="76"/>
      <c r="HY71" s="76"/>
      <c r="HZ71" s="76"/>
      <c r="IA71" s="76"/>
      <c r="IB71" s="76"/>
      <c r="IC71" s="76"/>
      <c r="ID71" s="76"/>
      <c r="IE71" s="76"/>
      <c r="IF71" s="76"/>
      <c r="IG71" s="76"/>
      <c r="IH71" s="76"/>
      <c r="II71" s="76"/>
      <c r="IJ71" s="76"/>
      <c r="IK71" s="76"/>
      <c r="IL71" s="76"/>
      <c r="IM71" s="76"/>
      <c r="IN71" s="76"/>
      <c r="IO71" s="76"/>
      <c r="IP71" s="76"/>
      <c r="IQ71" s="76"/>
      <c r="IR71" s="76"/>
      <c r="IS71" s="76"/>
      <c r="IT71" s="76"/>
      <c r="IU71" s="76"/>
      <c r="IV71" s="76"/>
      <c r="IW71" s="76"/>
      <c r="IX71" s="76"/>
      <c r="IY71" s="76"/>
      <c r="IZ71" s="76"/>
      <c r="JA71" s="76"/>
      <c r="JB71" s="76"/>
      <c r="JG71" s="89"/>
    </row>
    <row r="72" spans="1:267" s="19" customFormat="1" ht="11.4" x14ac:dyDescent="0.25">
      <c r="A72" s="76"/>
      <c r="B72" s="76"/>
      <c r="C72" s="77"/>
      <c r="D72" s="78"/>
      <c r="E72" s="79"/>
      <c r="F72" s="80"/>
      <c r="G72" s="80"/>
      <c r="H72" s="81"/>
      <c r="I72" s="82"/>
      <c r="J72" s="83"/>
      <c r="K72" s="76"/>
      <c r="L72" s="76"/>
      <c r="M72" s="76"/>
      <c r="N72" s="76"/>
      <c r="O72" s="76"/>
      <c r="P72" s="76"/>
      <c r="Q72" s="76"/>
      <c r="R72" s="76"/>
      <c r="S72" s="76"/>
      <c r="T72" s="76"/>
      <c r="U72" s="76"/>
      <c r="V72" s="76"/>
      <c r="W72" s="76"/>
      <c r="X72" s="76"/>
      <c r="Y72" s="76"/>
      <c r="Z72" s="76"/>
      <c r="AA72" s="76"/>
      <c r="AB72" s="76"/>
      <c r="AC72" s="76"/>
      <c r="AD72" s="76"/>
      <c r="AE72" s="76"/>
      <c r="AF72" s="76"/>
      <c r="AG72" s="76"/>
      <c r="AH72" s="76"/>
      <c r="AI72" s="76"/>
      <c r="AJ72" s="76"/>
      <c r="AK72" s="76"/>
      <c r="AL72" s="76"/>
      <c r="AM72" s="76"/>
      <c r="AN72" s="76"/>
      <c r="AO72" s="76"/>
      <c r="AP72" s="76"/>
      <c r="AQ72" s="76"/>
      <c r="AR72" s="76"/>
      <c r="AS72" s="76"/>
      <c r="AT72" s="76"/>
      <c r="AU72" s="76"/>
      <c r="AV72" s="76"/>
      <c r="AW72" s="76"/>
      <c r="AX72" s="76"/>
      <c r="AY72" s="76"/>
      <c r="AZ72" s="76"/>
      <c r="BA72" s="76"/>
      <c r="BB72" s="76"/>
      <c r="BC72" s="76"/>
      <c r="BD72" s="76"/>
      <c r="BE72" s="76"/>
      <c r="BF72" s="76"/>
      <c r="BG72" s="76"/>
      <c r="BH72" s="76"/>
      <c r="BI72" s="76"/>
      <c r="BJ72" s="76"/>
      <c r="BK72" s="76"/>
      <c r="BL72" s="76"/>
      <c r="BM72" s="76"/>
      <c r="BN72" s="76"/>
      <c r="BO72" s="76"/>
      <c r="BP72" s="76"/>
      <c r="BQ72" s="76"/>
      <c r="BR72" s="76"/>
      <c r="BS72" s="76"/>
      <c r="BT72" s="76"/>
      <c r="BU72" s="76"/>
      <c r="BV72" s="76"/>
      <c r="BW72" s="76"/>
      <c r="BX72" s="76"/>
      <c r="BY72" s="76"/>
      <c r="BZ72" s="76"/>
      <c r="CA72" s="76"/>
      <c r="CB72" s="76"/>
      <c r="CC72" s="76"/>
      <c r="CD72" s="76"/>
      <c r="CE72" s="76"/>
      <c r="CF72" s="76"/>
      <c r="CG72" s="76"/>
      <c r="CH72" s="76"/>
      <c r="CI72" s="76"/>
      <c r="CJ72" s="76"/>
      <c r="CK72" s="76"/>
      <c r="CL72" s="76"/>
      <c r="CM72" s="76"/>
      <c r="CN72" s="76"/>
      <c r="CO72" s="76"/>
      <c r="CP72" s="76"/>
      <c r="CQ72" s="76"/>
      <c r="CR72" s="76"/>
      <c r="CS72" s="76"/>
      <c r="CT72" s="76"/>
      <c r="CU72" s="76"/>
      <c r="CV72" s="76"/>
      <c r="CW72" s="76"/>
      <c r="CX72" s="76"/>
      <c r="CY72" s="76"/>
      <c r="CZ72" s="76"/>
      <c r="DA72" s="76"/>
      <c r="DB72" s="76"/>
      <c r="DC72" s="76"/>
      <c r="DD72" s="76"/>
      <c r="DE72" s="76"/>
      <c r="DF72" s="76"/>
      <c r="DG72" s="76"/>
      <c r="DH72" s="76"/>
      <c r="DI72" s="76"/>
      <c r="DJ72" s="76"/>
      <c r="DK72" s="76"/>
      <c r="DL72" s="76"/>
      <c r="DM72" s="76"/>
      <c r="DN72" s="76"/>
      <c r="DO72" s="76"/>
      <c r="DP72" s="76"/>
      <c r="DQ72" s="76"/>
      <c r="DR72" s="76"/>
      <c r="DS72" s="76"/>
      <c r="DT72" s="76"/>
      <c r="DU72" s="76"/>
      <c r="DV72" s="76"/>
      <c r="DW72" s="76"/>
      <c r="DX72" s="76"/>
      <c r="DY72" s="76"/>
      <c r="DZ72" s="76"/>
      <c r="EA72" s="76"/>
      <c r="EB72" s="76"/>
      <c r="EC72" s="76"/>
      <c r="ED72" s="76"/>
      <c r="EE72" s="76"/>
      <c r="EF72" s="76"/>
      <c r="EG72" s="76"/>
      <c r="EH72" s="76"/>
      <c r="EI72" s="76"/>
      <c r="EJ72" s="76"/>
      <c r="EK72" s="76"/>
      <c r="EL72" s="76"/>
      <c r="EM72" s="76"/>
      <c r="EN72" s="76"/>
      <c r="EO72" s="76"/>
      <c r="EP72" s="76"/>
      <c r="EQ72" s="76"/>
      <c r="ER72" s="76"/>
      <c r="ES72" s="76"/>
      <c r="ET72" s="76"/>
      <c r="EU72" s="76"/>
      <c r="EV72" s="76"/>
      <c r="EW72" s="76"/>
      <c r="EX72" s="76"/>
      <c r="EY72" s="76"/>
      <c r="EZ72" s="76"/>
      <c r="FA72" s="76"/>
      <c r="FB72" s="76"/>
      <c r="FC72" s="76"/>
      <c r="FD72" s="76"/>
      <c r="FE72" s="76"/>
      <c r="FF72" s="76"/>
      <c r="FG72" s="76"/>
      <c r="FH72" s="76"/>
      <c r="FI72" s="76"/>
      <c r="FJ72" s="76"/>
      <c r="FK72" s="76"/>
      <c r="FL72" s="76"/>
      <c r="FM72" s="76"/>
      <c r="FN72" s="76"/>
      <c r="FO72" s="76"/>
      <c r="FP72" s="76"/>
      <c r="FQ72" s="76"/>
      <c r="FR72" s="76"/>
      <c r="FS72" s="76"/>
      <c r="FT72" s="76"/>
      <c r="FU72" s="76"/>
      <c r="FV72" s="76"/>
      <c r="FW72" s="76"/>
      <c r="FX72" s="76"/>
      <c r="FY72" s="76"/>
      <c r="FZ72" s="76"/>
      <c r="GA72" s="76"/>
      <c r="GB72" s="76"/>
      <c r="GC72" s="76"/>
      <c r="GD72" s="76"/>
      <c r="GE72" s="76"/>
      <c r="GF72" s="76"/>
      <c r="GG72" s="76"/>
      <c r="GH72" s="76"/>
      <c r="GI72" s="76"/>
      <c r="GJ72" s="76"/>
      <c r="GK72" s="76"/>
      <c r="GL72" s="76"/>
      <c r="GM72" s="76"/>
      <c r="GN72" s="76"/>
      <c r="GO72" s="76"/>
      <c r="GP72" s="76"/>
      <c r="GQ72" s="76"/>
      <c r="GR72" s="76"/>
      <c r="GS72" s="76"/>
      <c r="GT72" s="76"/>
      <c r="GU72" s="76"/>
      <c r="GV72" s="76"/>
      <c r="GW72" s="76"/>
      <c r="GX72" s="76"/>
      <c r="GY72" s="76"/>
      <c r="GZ72" s="76"/>
      <c r="HA72" s="76"/>
      <c r="HB72" s="76"/>
      <c r="HC72" s="76"/>
      <c r="HD72" s="76"/>
      <c r="HE72" s="76"/>
      <c r="HF72" s="76"/>
      <c r="HG72" s="76"/>
      <c r="HH72" s="76"/>
      <c r="HI72" s="76"/>
      <c r="HJ72" s="76"/>
      <c r="HK72" s="76"/>
      <c r="HL72" s="76"/>
      <c r="HM72" s="76"/>
      <c r="HN72" s="76"/>
      <c r="HO72" s="76"/>
      <c r="HP72" s="76"/>
      <c r="HQ72" s="76"/>
      <c r="HR72" s="76"/>
      <c r="HS72" s="76"/>
      <c r="HT72" s="76"/>
      <c r="HU72" s="76"/>
      <c r="HV72" s="76"/>
      <c r="HW72" s="76"/>
      <c r="HX72" s="76"/>
      <c r="HY72" s="76"/>
      <c r="HZ72" s="76"/>
      <c r="IA72" s="76"/>
      <c r="IB72" s="76"/>
      <c r="IC72" s="76"/>
      <c r="ID72" s="76"/>
      <c r="IE72" s="76"/>
      <c r="IF72" s="76"/>
      <c r="IG72" s="76"/>
      <c r="IH72" s="76"/>
      <c r="II72" s="76"/>
      <c r="IJ72" s="76"/>
      <c r="IK72" s="76"/>
      <c r="IL72" s="76"/>
      <c r="IM72" s="76"/>
      <c r="IN72" s="76"/>
      <c r="IO72" s="76"/>
      <c r="IP72" s="76"/>
      <c r="IQ72" s="76"/>
      <c r="IR72" s="76"/>
      <c r="IS72" s="76"/>
      <c r="IT72" s="76"/>
      <c r="IU72" s="76"/>
      <c r="IV72" s="76"/>
      <c r="IW72" s="76"/>
      <c r="IX72" s="76"/>
      <c r="IY72" s="76"/>
      <c r="IZ72" s="76"/>
      <c r="JA72" s="76"/>
      <c r="JB72" s="76"/>
      <c r="JG72" s="89"/>
    </row>
    <row r="73" spans="1:267" s="19" customFormat="1" ht="11.4" x14ac:dyDescent="0.25">
      <c r="A73" s="76"/>
      <c r="B73" s="76"/>
      <c r="C73" s="77"/>
      <c r="D73" s="78"/>
      <c r="E73" s="79"/>
      <c r="F73" s="80"/>
      <c r="G73" s="80"/>
      <c r="H73" s="81"/>
      <c r="I73" s="82"/>
      <c r="J73" s="83"/>
      <c r="K73" s="76"/>
      <c r="L73" s="76"/>
      <c r="M73" s="76"/>
      <c r="N73" s="76"/>
      <c r="O73" s="76"/>
      <c r="P73" s="76"/>
      <c r="Q73" s="76"/>
      <c r="R73" s="76"/>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M73" s="76"/>
      <c r="CN73" s="76"/>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c r="DM73" s="76"/>
      <c r="DN73" s="76"/>
      <c r="DO73" s="76"/>
      <c r="DP73" s="76"/>
      <c r="DQ73" s="76"/>
      <c r="DR73" s="76"/>
      <c r="DS73" s="76"/>
      <c r="DT73" s="76"/>
      <c r="DU73" s="76"/>
      <c r="DV73" s="76"/>
      <c r="DW73" s="76"/>
      <c r="DX73" s="76"/>
      <c r="DY73" s="76"/>
      <c r="DZ73" s="76"/>
      <c r="EA73" s="76"/>
      <c r="EB73" s="76"/>
      <c r="EC73" s="76"/>
      <c r="ED73" s="76"/>
      <c r="EE73" s="76"/>
      <c r="EF73" s="76"/>
      <c r="EG73" s="76"/>
      <c r="EH73" s="76"/>
      <c r="EI73" s="76"/>
      <c r="EJ73" s="76"/>
      <c r="EK73" s="76"/>
      <c r="EL73" s="76"/>
      <c r="EM73" s="76"/>
      <c r="EN73" s="76"/>
      <c r="EO73" s="76"/>
      <c r="EP73" s="76"/>
      <c r="EQ73" s="76"/>
      <c r="ER73" s="76"/>
      <c r="ES73" s="76"/>
      <c r="ET73" s="76"/>
      <c r="EU73" s="76"/>
      <c r="EV73" s="76"/>
      <c r="EW73" s="76"/>
      <c r="EX73" s="76"/>
      <c r="EY73" s="76"/>
      <c r="EZ73" s="76"/>
      <c r="FA73" s="76"/>
      <c r="FB73" s="76"/>
      <c r="FC73" s="76"/>
      <c r="FD73" s="76"/>
      <c r="FE73" s="76"/>
      <c r="FF73" s="76"/>
      <c r="FG73" s="76"/>
      <c r="FH73" s="76"/>
      <c r="FI73" s="76"/>
      <c r="FJ73" s="76"/>
      <c r="FK73" s="76"/>
      <c r="FL73" s="76"/>
      <c r="FM73" s="76"/>
      <c r="FN73" s="76"/>
      <c r="FO73" s="76"/>
      <c r="FP73" s="76"/>
      <c r="FQ73" s="76"/>
      <c r="FR73" s="76"/>
      <c r="FS73" s="76"/>
      <c r="FT73" s="76"/>
      <c r="FU73" s="76"/>
      <c r="FV73" s="76"/>
      <c r="FW73" s="76"/>
      <c r="FX73" s="76"/>
      <c r="FY73" s="76"/>
      <c r="FZ73" s="76"/>
      <c r="GA73" s="76"/>
      <c r="GB73" s="76"/>
      <c r="GC73" s="76"/>
      <c r="GD73" s="76"/>
      <c r="GE73" s="76"/>
      <c r="GF73" s="76"/>
      <c r="GG73" s="76"/>
      <c r="GH73" s="76"/>
      <c r="GI73" s="76"/>
      <c r="GJ73" s="76"/>
      <c r="GK73" s="76"/>
      <c r="GL73" s="76"/>
      <c r="GM73" s="76"/>
      <c r="GN73" s="76"/>
      <c r="GO73" s="76"/>
      <c r="GP73" s="76"/>
      <c r="GQ73" s="76"/>
      <c r="GR73" s="76"/>
      <c r="GS73" s="76"/>
      <c r="GT73" s="76"/>
      <c r="GU73" s="76"/>
      <c r="GV73" s="76"/>
      <c r="GW73" s="76"/>
      <c r="GX73" s="76"/>
      <c r="GY73" s="76"/>
      <c r="GZ73" s="76"/>
      <c r="HA73" s="76"/>
      <c r="HB73" s="76"/>
      <c r="HC73" s="76"/>
      <c r="HD73" s="76"/>
      <c r="HE73" s="76"/>
      <c r="HF73" s="76"/>
      <c r="HG73" s="76"/>
      <c r="HH73" s="76"/>
      <c r="HI73" s="76"/>
      <c r="HJ73" s="76"/>
      <c r="HK73" s="76"/>
      <c r="HL73" s="76"/>
      <c r="HM73" s="76"/>
      <c r="HN73" s="76"/>
      <c r="HO73" s="76"/>
      <c r="HP73" s="76"/>
      <c r="HQ73" s="76"/>
      <c r="HR73" s="76"/>
      <c r="HS73" s="76"/>
      <c r="HT73" s="76"/>
      <c r="HU73" s="76"/>
      <c r="HV73" s="76"/>
      <c r="HW73" s="76"/>
      <c r="HX73" s="76"/>
      <c r="HY73" s="76"/>
      <c r="HZ73" s="76"/>
      <c r="IA73" s="76"/>
      <c r="IB73" s="76"/>
      <c r="IC73" s="76"/>
      <c r="ID73" s="76"/>
      <c r="IE73" s="76"/>
      <c r="IF73" s="76"/>
      <c r="IG73" s="76"/>
      <c r="IH73" s="76"/>
      <c r="II73" s="76"/>
      <c r="IJ73" s="76"/>
      <c r="IK73" s="76"/>
      <c r="IL73" s="76"/>
      <c r="IM73" s="76"/>
      <c r="IN73" s="76"/>
      <c r="IO73" s="76"/>
      <c r="IP73" s="76"/>
      <c r="IQ73" s="76"/>
      <c r="IR73" s="76"/>
      <c r="IS73" s="76"/>
      <c r="IT73" s="76"/>
      <c r="IU73" s="76"/>
      <c r="IV73" s="76"/>
      <c r="IW73" s="76"/>
      <c r="IX73" s="76"/>
      <c r="IY73" s="76"/>
      <c r="IZ73" s="76"/>
      <c r="JA73" s="76"/>
      <c r="JB73" s="76"/>
      <c r="JG73" s="89"/>
    </row>
    <row r="74" spans="1:267" s="19" customFormat="1" ht="11.4" x14ac:dyDescent="0.25">
      <c r="A74" s="76"/>
      <c r="B74" s="76"/>
      <c r="C74" s="77"/>
      <c r="D74" s="78"/>
      <c r="E74" s="79"/>
      <c r="F74" s="80"/>
      <c r="G74" s="80"/>
      <c r="H74" s="81"/>
      <c r="I74" s="82"/>
      <c r="J74" s="83"/>
      <c r="K74" s="76"/>
      <c r="L74" s="76"/>
      <c r="M74" s="76"/>
      <c r="N74" s="76"/>
      <c r="O74" s="76"/>
      <c r="P74" s="76"/>
      <c r="Q74" s="76"/>
      <c r="R74" s="76"/>
      <c r="S74" s="76"/>
      <c r="T74" s="76"/>
      <c r="U74" s="76"/>
      <c r="V74" s="76"/>
      <c r="W74" s="76"/>
      <c r="X74" s="76"/>
      <c r="Y74" s="76"/>
      <c r="Z74" s="76"/>
      <c r="AA74" s="76"/>
      <c r="AB74" s="76"/>
      <c r="AC74" s="76"/>
      <c r="AD74" s="76"/>
      <c r="AE74" s="76"/>
      <c r="AF74" s="76"/>
      <c r="AG74" s="76"/>
      <c r="AH74" s="76"/>
      <c r="AI74" s="76"/>
      <c r="AJ74" s="76"/>
      <c r="AK74" s="76"/>
      <c r="AL74" s="76"/>
      <c r="AM74" s="76"/>
      <c r="AN74" s="76"/>
      <c r="AO74" s="76"/>
      <c r="AP74" s="76"/>
      <c r="AQ74" s="76"/>
      <c r="AR74" s="76"/>
      <c r="AS74" s="76"/>
      <c r="AT74" s="76"/>
      <c r="AU74" s="76"/>
      <c r="AV74" s="76"/>
      <c r="AW74" s="76"/>
      <c r="AX74" s="76"/>
      <c r="AY74" s="76"/>
      <c r="AZ74" s="76"/>
      <c r="BA74" s="76"/>
      <c r="BB74" s="76"/>
      <c r="BC74" s="76"/>
      <c r="BD74" s="76"/>
      <c r="BE74" s="76"/>
      <c r="BF74" s="76"/>
      <c r="BG74" s="76"/>
      <c r="BH74" s="76"/>
      <c r="BI74" s="76"/>
      <c r="BJ74" s="76"/>
      <c r="BK74" s="76"/>
      <c r="BL74" s="76"/>
      <c r="BM74" s="76"/>
      <c r="BN74" s="76"/>
      <c r="BO74" s="76"/>
      <c r="BP74" s="76"/>
      <c r="BQ74" s="76"/>
      <c r="BR74" s="76"/>
      <c r="BS74" s="76"/>
      <c r="BT74" s="76"/>
      <c r="BU74" s="76"/>
      <c r="BV74" s="76"/>
      <c r="BW74" s="76"/>
      <c r="BX74" s="76"/>
      <c r="BY74" s="76"/>
      <c r="BZ74" s="76"/>
      <c r="CA74" s="76"/>
      <c r="CB74" s="76"/>
      <c r="CC74" s="76"/>
      <c r="CD74" s="76"/>
      <c r="CE74" s="76"/>
      <c r="CF74" s="76"/>
      <c r="CG74" s="76"/>
      <c r="CH74" s="76"/>
      <c r="CI74" s="76"/>
      <c r="CJ74" s="76"/>
      <c r="CK74" s="76"/>
      <c r="CL74" s="76"/>
      <c r="CM74" s="76"/>
      <c r="CN74" s="76"/>
      <c r="CO74" s="76"/>
      <c r="CP74" s="76"/>
      <c r="CQ74" s="76"/>
      <c r="CR74" s="76"/>
      <c r="CS74" s="76"/>
      <c r="CT74" s="76"/>
      <c r="CU74" s="76"/>
      <c r="CV74" s="76"/>
      <c r="CW74" s="76"/>
      <c r="CX74" s="76"/>
      <c r="CY74" s="76"/>
      <c r="CZ74" s="76"/>
      <c r="DA74" s="76"/>
      <c r="DB74" s="76"/>
      <c r="DC74" s="76"/>
      <c r="DD74" s="76"/>
      <c r="DE74" s="76"/>
      <c r="DF74" s="76"/>
      <c r="DG74" s="76"/>
      <c r="DH74" s="76"/>
      <c r="DI74" s="76"/>
      <c r="DJ74" s="76"/>
      <c r="DK74" s="76"/>
      <c r="DL74" s="76"/>
      <c r="DM74" s="76"/>
      <c r="DN74" s="76"/>
      <c r="DO74" s="76"/>
      <c r="DP74" s="76"/>
      <c r="DQ74" s="76"/>
      <c r="DR74" s="76"/>
      <c r="DS74" s="76"/>
      <c r="DT74" s="76"/>
      <c r="DU74" s="76"/>
      <c r="DV74" s="76"/>
      <c r="DW74" s="76"/>
      <c r="DX74" s="76"/>
      <c r="DY74" s="76"/>
      <c r="DZ74" s="76"/>
      <c r="EA74" s="76"/>
      <c r="EB74" s="76"/>
      <c r="EC74" s="76"/>
      <c r="ED74" s="76"/>
      <c r="EE74" s="76"/>
      <c r="EF74" s="76"/>
      <c r="EG74" s="76"/>
      <c r="EH74" s="76"/>
      <c r="EI74" s="76"/>
      <c r="EJ74" s="76"/>
      <c r="EK74" s="76"/>
      <c r="EL74" s="76"/>
      <c r="EM74" s="76"/>
      <c r="EN74" s="76"/>
      <c r="EO74" s="76"/>
      <c r="EP74" s="76"/>
      <c r="EQ74" s="76"/>
      <c r="ER74" s="76"/>
      <c r="ES74" s="76"/>
      <c r="ET74" s="76"/>
      <c r="EU74" s="76"/>
      <c r="EV74" s="76"/>
      <c r="EW74" s="76"/>
      <c r="EX74" s="76"/>
      <c r="EY74" s="76"/>
      <c r="EZ74" s="76"/>
      <c r="FA74" s="76"/>
      <c r="FB74" s="76"/>
      <c r="FC74" s="76"/>
      <c r="FD74" s="76"/>
      <c r="FE74" s="76"/>
      <c r="FF74" s="76"/>
      <c r="FG74" s="76"/>
      <c r="FH74" s="76"/>
      <c r="FI74" s="76"/>
      <c r="FJ74" s="76"/>
      <c r="FK74" s="76"/>
      <c r="FL74" s="76"/>
      <c r="FM74" s="76"/>
      <c r="FN74" s="76"/>
      <c r="FO74" s="76"/>
      <c r="FP74" s="76"/>
      <c r="FQ74" s="76"/>
      <c r="FR74" s="76"/>
      <c r="FS74" s="76"/>
      <c r="FT74" s="76"/>
      <c r="FU74" s="76"/>
      <c r="FV74" s="76"/>
      <c r="FW74" s="76"/>
      <c r="FX74" s="76"/>
      <c r="FY74" s="76"/>
      <c r="FZ74" s="76"/>
      <c r="GA74" s="76"/>
      <c r="GB74" s="76"/>
      <c r="GC74" s="76"/>
      <c r="GD74" s="76"/>
      <c r="GE74" s="76"/>
      <c r="GF74" s="76"/>
      <c r="GG74" s="76"/>
      <c r="GH74" s="76"/>
      <c r="GI74" s="76"/>
      <c r="GJ74" s="76"/>
      <c r="GK74" s="76"/>
      <c r="GL74" s="76"/>
      <c r="GM74" s="76"/>
      <c r="GN74" s="76"/>
      <c r="GO74" s="76"/>
      <c r="GP74" s="76"/>
      <c r="GQ74" s="76"/>
      <c r="GR74" s="76"/>
      <c r="GS74" s="76"/>
      <c r="GT74" s="76"/>
      <c r="GU74" s="76"/>
      <c r="GV74" s="76"/>
      <c r="GW74" s="76"/>
      <c r="GX74" s="76"/>
      <c r="GY74" s="76"/>
      <c r="GZ74" s="76"/>
      <c r="HA74" s="76"/>
      <c r="HB74" s="76"/>
      <c r="HC74" s="76"/>
      <c r="HD74" s="76"/>
      <c r="HE74" s="76"/>
      <c r="HF74" s="76"/>
      <c r="HG74" s="76"/>
      <c r="HH74" s="76"/>
      <c r="HI74" s="76"/>
      <c r="HJ74" s="76"/>
      <c r="HK74" s="76"/>
      <c r="HL74" s="76"/>
      <c r="HM74" s="76"/>
      <c r="HN74" s="76"/>
      <c r="HO74" s="76"/>
      <c r="HP74" s="76"/>
      <c r="HQ74" s="76"/>
      <c r="HR74" s="76"/>
      <c r="HS74" s="76"/>
      <c r="HT74" s="76"/>
      <c r="HU74" s="76"/>
      <c r="HV74" s="76"/>
      <c r="HW74" s="76"/>
      <c r="HX74" s="76"/>
      <c r="HY74" s="76"/>
      <c r="HZ74" s="76"/>
      <c r="IA74" s="76"/>
      <c r="IB74" s="76"/>
      <c r="IC74" s="76"/>
      <c r="ID74" s="76"/>
      <c r="IE74" s="76"/>
      <c r="IF74" s="76"/>
      <c r="IG74" s="76"/>
      <c r="IH74" s="76"/>
      <c r="II74" s="76"/>
      <c r="IJ74" s="76"/>
      <c r="IK74" s="76"/>
      <c r="IL74" s="76"/>
      <c r="IM74" s="76"/>
      <c r="IN74" s="76"/>
      <c r="IO74" s="76"/>
      <c r="IP74" s="76"/>
      <c r="IQ74" s="76"/>
      <c r="IR74" s="76"/>
      <c r="IS74" s="76"/>
      <c r="IT74" s="76"/>
      <c r="IU74" s="76"/>
      <c r="IV74" s="76"/>
      <c r="IW74" s="76"/>
      <c r="IX74" s="76"/>
      <c r="IY74" s="76"/>
      <c r="IZ74" s="76"/>
      <c r="JA74" s="76"/>
      <c r="JB74" s="76"/>
      <c r="JG74" s="89"/>
    </row>
    <row r="75" spans="1:267" s="19" customFormat="1" ht="11.4" x14ac:dyDescent="0.25">
      <c r="A75" s="76"/>
      <c r="B75" s="76"/>
      <c r="C75" s="77"/>
      <c r="D75" s="78"/>
      <c r="E75" s="79"/>
      <c r="F75" s="80"/>
      <c r="G75" s="80"/>
      <c r="H75" s="81"/>
      <c r="I75" s="82"/>
      <c r="J75" s="83"/>
      <c r="K75" s="76"/>
      <c r="L75" s="76"/>
      <c r="M75" s="76"/>
      <c r="N75" s="76"/>
      <c r="O75" s="76"/>
      <c r="P75" s="76"/>
      <c r="Q75" s="76"/>
      <c r="R75" s="76"/>
      <c r="S75" s="76"/>
      <c r="T75" s="76"/>
      <c r="U75" s="76"/>
      <c r="V75" s="76"/>
      <c r="W75" s="76"/>
      <c r="X75" s="76"/>
      <c r="Y75" s="76"/>
      <c r="Z75" s="76"/>
      <c r="AA75" s="76"/>
      <c r="AB75" s="76"/>
      <c r="AC75" s="76"/>
      <c r="AD75" s="76"/>
      <c r="AE75" s="76"/>
      <c r="AF75" s="76"/>
      <c r="AG75" s="76"/>
      <c r="AH75" s="76"/>
      <c r="AI75" s="76"/>
      <c r="AJ75" s="76"/>
      <c r="AK75" s="76"/>
      <c r="AL75" s="76"/>
      <c r="AM75" s="76"/>
      <c r="AN75" s="76"/>
      <c r="AO75" s="76"/>
      <c r="AP75" s="76"/>
      <c r="AQ75" s="76"/>
      <c r="AR75" s="76"/>
      <c r="AS75" s="76"/>
      <c r="AT75" s="76"/>
      <c r="AU75" s="76"/>
      <c r="AV75" s="76"/>
      <c r="AW75" s="76"/>
      <c r="AX75" s="76"/>
      <c r="AY75" s="76"/>
      <c r="AZ75" s="76"/>
      <c r="BA75" s="76"/>
      <c r="BB75" s="76"/>
      <c r="BC75" s="76"/>
      <c r="BD75" s="76"/>
      <c r="BE75" s="76"/>
      <c r="BF75" s="76"/>
      <c r="BG75" s="76"/>
      <c r="BH75" s="76"/>
      <c r="BI75" s="76"/>
      <c r="BJ75" s="76"/>
      <c r="BK75" s="76"/>
      <c r="BL75" s="76"/>
      <c r="BM75" s="76"/>
      <c r="BN75" s="76"/>
      <c r="BO75" s="76"/>
      <c r="BP75" s="76"/>
      <c r="BQ75" s="76"/>
      <c r="BR75" s="76"/>
      <c r="BS75" s="76"/>
      <c r="BT75" s="76"/>
      <c r="BU75" s="76"/>
      <c r="BV75" s="76"/>
      <c r="BW75" s="76"/>
      <c r="BX75" s="76"/>
      <c r="BY75" s="76"/>
      <c r="BZ75" s="76"/>
      <c r="CA75" s="76"/>
      <c r="CB75" s="76"/>
      <c r="CC75" s="76"/>
      <c r="CD75" s="76"/>
      <c r="CE75" s="76"/>
      <c r="CF75" s="76"/>
      <c r="CG75" s="76"/>
      <c r="CH75" s="76"/>
      <c r="CI75" s="76"/>
      <c r="CJ75" s="76"/>
      <c r="CK75" s="76"/>
      <c r="CL75" s="76"/>
      <c r="CM75" s="76"/>
      <c r="CN75" s="76"/>
      <c r="CO75" s="76"/>
      <c r="CP75" s="76"/>
      <c r="CQ75" s="76"/>
      <c r="CR75" s="76"/>
      <c r="CS75" s="76"/>
      <c r="CT75" s="76"/>
      <c r="CU75" s="76"/>
      <c r="CV75" s="76"/>
      <c r="CW75" s="76"/>
      <c r="CX75" s="76"/>
      <c r="CY75" s="76"/>
      <c r="CZ75" s="76"/>
      <c r="DA75" s="76"/>
      <c r="DB75" s="76"/>
      <c r="DC75" s="76"/>
      <c r="DD75" s="76"/>
      <c r="DE75" s="76"/>
      <c r="DF75" s="76"/>
      <c r="DG75" s="76"/>
      <c r="DH75" s="76"/>
      <c r="DI75" s="76"/>
      <c r="DJ75" s="76"/>
      <c r="DK75" s="76"/>
      <c r="DL75" s="76"/>
      <c r="DM75" s="76"/>
      <c r="DN75" s="76"/>
      <c r="DO75" s="76"/>
      <c r="DP75" s="76"/>
      <c r="DQ75" s="76"/>
      <c r="DR75" s="76"/>
      <c r="DS75" s="76"/>
      <c r="DT75" s="76"/>
      <c r="DU75" s="76"/>
      <c r="DV75" s="76"/>
      <c r="DW75" s="76"/>
      <c r="DX75" s="76"/>
      <c r="DY75" s="76"/>
      <c r="DZ75" s="76"/>
      <c r="EA75" s="76"/>
      <c r="EB75" s="76"/>
      <c r="EC75" s="76"/>
      <c r="ED75" s="76"/>
      <c r="EE75" s="76"/>
      <c r="EF75" s="76"/>
      <c r="EG75" s="76"/>
      <c r="EH75" s="76"/>
      <c r="EI75" s="76"/>
      <c r="EJ75" s="76"/>
      <c r="EK75" s="76"/>
      <c r="EL75" s="76"/>
      <c r="EM75" s="76"/>
      <c r="EN75" s="76"/>
      <c r="EO75" s="76"/>
      <c r="EP75" s="76"/>
      <c r="EQ75" s="76"/>
      <c r="ER75" s="76"/>
      <c r="ES75" s="76"/>
      <c r="ET75" s="76"/>
      <c r="EU75" s="76"/>
      <c r="EV75" s="76"/>
      <c r="EW75" s="76"/>
      <c r="EX75" s="76"/>
      <c r="EY75" s="76"/>
      <c r="EZ75" s="76"/>
      <c r="FA75" s="76"/>
      <c r="FB75" s="76"/>
      <c r="FC75" s="76"/>
      <c r="FD75" s="76"/>
      <c r="FE75" s="76"/>
      <c r="FF75" s="76"/>
      <c r="FG75" s="76"/>
      <c r="FH75" s="76"/>
      <c r="FI75" s="76"/>
      <c r="FJ75" s="76"/>
      <c r="FK75" s="76"/>
      <c r="FL75" s="76"/>
      <c r="FM75" s="76"/>
      <c r="FN75" s="76"/>
      <c r="FO75" s="76"/>
      <c r="FP75" s="76"/>
      <c r="FQ75" s="76"/>
      <c r="FR75" s="76"/>
      <c r="FS75" s="76"/>
      <c r="FT75" s="76"/>
      <c r="FU75" s="76"/>
      <c r="FV75" s="76"/>
      <c r="FW75" s="76"/>
      <c r="FX75" s="76"/>
      <c r="FY75" s="76"/>
      <c r="FZ75" s="76"/>
      <c r="GA75" s="76"/>
      <c r="GB75" s="76"/>
      <c r="GC75" s="76"/>
      <c r="GD75" s="76"/>
      <c r="GE75" s="76"/>
      <c r="GF75" s="76"/>
      <c r="GG75" s="76"/>
      <c r="GH75" s="76"/>
      <c r="GI75" s="76"/>
      <c r="GJ75" s="76"/>
      <c r="GK75" s="76"/>
      <c r="GL75" s="76"/>
      <c r="GM75" s="76"/>
      <c r="GN75" s="76"/>
      <c r="GO75" s="76"/>
      <c r="GP75" s="76"/>
      <c r="GQ75" s="76"/>
      <c r="GR75" s="76"/>
      <c r="GS75" s="76"/>
      <c r="GT75" s="76"/>
      <c r="GU75" s="76"/>
      <c r="GV75" s="76"/>
      <c r="GW75" s="76"/>
      <c r="GX75" s="76"/>
      <c r="GY75" s="76"/>
      <c r="GZ75" s="76"/>
      <c r="HA75" s="76"/>
      <c r="HB75" s="76"/>
      <c r="HC75" s="76"/>
      <c r="HD75" s="76"/>
      <c r="HE75" s="76"/>
      <c r="HF75" s="76"/>
      <c r="HG75" s="76"/>
      <c r="HH75" s="76"/>
      <c r="HI75" s="76"/>
      <c r="HJ75" s="76"/>
      <c r="HK75" s="76"/>
      <c r="HL75" s="76"/>
      <c r="HM75" s="76"/>
      <c r="HN75" s="76"/>
      <c r="HO75" s="76"/>
      <c r="HP75" s="76"/>
      <c r="HQ75" s="76"/>
      <c r="HR75" s="76"/>
      <c r="HS75" s="76"/>
      <c r="HT75" s="76"/>
      <c r="HU75" s="76"/>
      <c r="HV75" s="76"/>
      <c r="HW75" s="76"/>
      <c r="HX75" s="76"/>
      <c r="HY75" s="76"/>
      <c r="HZ75" s="76"/>
      <c r="IA75" s="76"/>
      <c r="IB75" s="76"/>
      <c r="IC75" s="76"/>
      <c r="ID75" s="76"/>
      <c r="IE75" s="76"/>
      <c r="IF75" s="76"/>
      <c r="IG75" s="76"/>
      <c r="IH75" s="76"/>
      <c r="II75" s="76"/>
      <c r="IJ75" s="76"/>
      <c r="IK75" s="76"/>
      <c r="IL75" s="76"/>
      <c r="IM75" s="76"/>
      <c r="IN75" s="76"/>
      <c r="IO75" s="76"/>
      <c r="IP75" s="76"/>
      <c r="IQ75" s="76"/>
      <c r="IR75" s="76"/>
      <c r="IS75" s="76"/>
      <c r="IT75" s="76"/>
      <c r="IU75" s="76"/>
      <c r="IV75" s="76"/>
      <c r="IW75" s="76"/>
      <c r="IX75" s="76"/>
      <c r="IY75" s="76"/>
      <c r="IZ75" s="76"/>
      <c r="JA75" s="76"/>
      <c r="JB75" s="76"/>
      <c r="JG75" s="89"/>
    </row>
    <row r="76" spans="1:267" s="19" customFormat="1" ht="11.4" x14ac:dyDescent="0.25">
      <c r="A76" s="76"/>
      <c r="B76" s="76"/>
      <c r="C76" s="77"/>
      <c r="D76" s="78"/>
      <c r="E76" s="79"/>
      <c r="F76" s="80"/>
      <c r="G76" s="80"/>
      <c r="H76" s="81"/>
      <c r="I76" s="82"/>
      <c r="J76" s="83"/>
      <c r="K76" s="76"/>
      <c r="L76" s="76"/>
      <c r="M76" s="76"/>
      <c r="N76" s="76"/>
      <c r="O76" s="76"/>
      <c r="P76" s="76"/>
      <c r="Q76" s="76"/>
      <c r="R76" s="76"/>
      <c r="S76" s="76"/>
      <c r="T76" s="76"/>
      <c r="U76" s="76"/>
      <c r="V76" s="76"/>
      <c r="W76" s="76"/>
      <c r="X76" s="76"/>
      <c r="Y76" s="76"/>
      <c r="Z76" s="76"/>
      <c r="AA76" s="76"/>
      <c r="AB76" s="76"/>
      <c r="AC76" s="76"/>
      <c r="AD76" s="76"/>
      <c r="AE76" s="76"/>
      <c r="AF76" s="76"/>
      <c r="AG76" s="76"/>
      <c r="AH76" s="76"/>
      <c r="AI76" s="76"/>
      <c r="AJ76" s="76"/>
      <c r="AK76" s="76"/>
      <c r="AL76" s="76"/>
      <c r="AM76" s="76"/>
      <c r="AN76" s="76"/>
      <c r="AO76" s="76"/>
      <c r="AP76" s="76"/>
      <c r="AQ76" s="76"/>
      <c r="AR76" s="76"/>
      <c r="AS76" s="76"/>
      <c r="AT76" s="76"/>
      <c r="AU76" s="76"/>
      <c r="AV76" s="76"/>
      <c r="AW76" s="76"/>
      <c r="AX76" s="76"/>
      <c r="AY76" s="76"/>
      <c r="AZ76" s="76"/>
      <c r="BA76" s="76"/>
      <c r="BB76" s="76"/>
      <c r="BC76" s="76"/>
      <c r="BD76" s="76"/>
      <c r="BE76" s="76"/>
      <c r="BF76" s="76"/>
      <c r="BG76" s="76"/>
      <c r="BH76" s="76"/>
      <c r="BI76" s="76"/>
      <c r="BJ76" s="76"/>
      <c r="BK76" s="76"/>
      <c r="BL76" s="76"/>
      <c r="BM76" s="76"/>
      <c r="BN76" s="76"/>
      <c r="BO76" s="76"/>
      <c r="BP76" s="76"/>
      <c r="BQ76" s="76"/>
      <c r="BR76" s="76"/>
      <c r="BS76" s="76"/>
      <c r="BT76" s="76"/>
      <c r="BU76" s="76"/>
      <c r="BV76" s="76"/>
      <c r="BW76" s="76"/>
      <c r="BX76" s="76"/>
      <c r="BY76" s="76"/>
      <c r="BZ76" s="76"/>
      <c r="CA76" s="76"/>
      <c r="CB76" s="76"/>
      <c r="CC76" s="76"/>
      <c r="CD76" s="76"/>
      <c r="CE76" s="76"/>
      <c r="CF76" s="76"/>
      <c r="CG76" s="76"/>
      <c r="CH76" s="76"/>
      <c r="CI76" s="76"/>
      <c r="CJ76" s="76"/>
      <c r="CK76" s="76"/>
      <c r="CL76" s="76"/>
      <c r="CM76" s="76"/>
      <c r="CN76" s="76"/>
      <c r="CO76" s="76"/>
      <c r="CP76" s="76"/>
      <c r="CQ76" s="76"/>
      <c r="CR76" s="76"/>
      <c r="CS76" s="76"/>
      <c r="CT76" s="76"/>
      <c r="CU76" s="76"/>
      <c r="CV76" s="76"/>
      <c r="CW76" s="76"/>
      <c r="CX76" s="76"/>
      <c r="CY76" s="76"/>
      <c r="CZ76" s="76"/>
      <c r="DA76" s="76"/>
      <c r="DB76" s="76"/>
      <c r="DC76" s="76"/>
      <c r="DD76" s="76"/>
      <c r="DE76" s="76"/>
      <c r="DF76" s="76"/>
      <c r="DG76" s="76"/>
      <c r="DH76" s="76"/>
      <c r="DI76" s="76"/>
      <c r="DJ76" s="76"/>
      <c r="DK76" s="76"/>
      <c r="DL76" s="76"/>
      <c r="DM76" s="76"/>
      <c r="DN76" s="76"/>
      <c r="DO76" s="76"/>
      <c r="DP76" s="76"/>
      <c r="DQ76" s="76"/>
      <c r="DR76" s="76"/>
      <c r="DS76" s="76"/>
      <c r="DT76" s="76"/>
      <c r="DU76" s="76"/>
      <c r="DV76" s="76"/>
      <c r="DW76" s="76"/>
      <c r="DX76" s="76"/>
      <c r="DY76" s="76"/>
      <c r="DZ76" s="76"/>
      <c r="EA76" s="76"/>
      <c r="EB76" s="76"/>
      <c r="EC76" s="76"/>
      <c r="ED76" s="76"/>
      <c r="EE76" s="76"/>
      <c r="EF76" s="76"/>
      <c r="EG76" s="76"/>
      <c r="EH76" s="76"/>
      <c r="EI76" s="76"/>
      <c r="EJ76" s="76"/>
      <c r="EK76" s="76"/>
      <c r="EL76" s="76"/>
      <c r="EM76" s="76"/>
      <c r="EN76" s="76"/>
      <c r="EO76" s="76"/>
      <c r="EP76" s="76"/>
      <c r="EQ76" s="76"/>
      <c r="ER76" s="76"/>
      <c r="ES76" s="76"/>
      <c r="ET76" s="76"/>
      <c r="EU76" s="76"/>
      <c r="EV76" s="76"/>
      <c r="EW76" s="76"/>
      <c r="EX76" s="76"/>
      <c r="EY76" s="76"/>
      <c r="EZ76" s="76"/>
      <c r="FA76" s="76"/>
      <c r="FB76" s="76"/>
      <c r="FC76" s="76"/>
      <c r="FD76" s="76"/>
      <c r="FE76" s="76"/>
      <c r="FF76" s="76"/>
      <c r="FG76" s="76"/>
      <c r="FH76" s="76"/>
      <c r="FI76" s="76"/>
      <c r="FJ76" s="76"/>
      <c r="FK76" s="76"/>
      <c r="FL76" s="76"/>
      <c r="FM76" s="76"/>
      <c r="FN76" s="76"/>
      <c r="FO76" s="76"/>
      <c r="FP76" s="76"/>
      <c r="FQ76" s="76"/>
      <c r="FR76" s="76"/>
      <c r="FS76" s="76"/>
      <c r="FT76" s="76"/>
      <c r="FU76" s="76"/>
      <c r="FV76" s="76"/>
      <c r="FW76" s="76"/>
      <c r="FX76" s="76"/>
      <c r="FY76" s="76"/>
      <c r="FZ76" s="76"/>
      <c r="GA76" s="76"/>
      <c r="GB76" s="76"/>
      <c r="GC76" s="76"/>
      <c r="GD76" s="76"/>
      <c r="GE76" s="76"/>
      <c r="GF76" s="76"/>
      <c r="GG76" s="76"/>
      <c r="GH76" s="76"/>
      <c r="GI76" s="76"/>
      <c r="GJ76" s="76"/>
      <c r="GK76" s="76"/>
      <c r="GL76" s="76"/>
      <c r="GM76" s="76"/>
      <c r="GN76" s="76"/>
      <c r="GO76" s="76"/>
      <c r="GP76" s="76"/>
      <c r="GQ76" s="76"/>
      <c r="GR76" s="76"/>
      <c r="GS76" s="76"/>
      <c r="GT76" s="76"/>
      <c r="GU76" s="76"/>
      <c r="GV76" s="76"/>
      <c r="GW76" s="76"/>
      <c r="GX76" s="76"/>
      <c r="GY76" s="76"/>
      <c r="GZ76" s="76"/>
      <c r="HA76" s="76"/>
      <c r="HB76" s="76"/>
      <c r="HC76" s="76"/>
      <c r="HD76" s="76"/>
      <c r="HE76" s="76"/>
      <c r="HF76" s="76"/>
      <c r="HG76" s="76"/>
      <c r="HH76" s="76"/>
      <c r="HI76" s="76"/>
      <c r="HJ76" s="76"/>
      <c r="HK76" s="76"/>
      <c r="HL76" s="76"/>
      <c r="HM76" s="76"/>
      <c r="HN76" s="76"/>
      <c r="HO76" s="76"/>
      <c r="HP76" s="76"/>
      <c r="HQ76" s="76"/>
      <c r="HR76" s="76"/>
      <c r="HS76" s="76"/>
      <c r="HT76" s="76"/>
      <c r="HU76" s="76"/>
      <c r="HV76" s="76"/>
      <c r="HW76" s="76"/>
      <c r="HX76" s="76"/>
      <c r="HY76" s="76"/>
      <c r="HZ76" s="76"/>
      <c r="IA76" s="76"/>
      <c r="IB76" s="76"/>
      <c r="IC76" s="76"/>
      <c r="ID76" s="76"/>
      <c r="IE76" s="76"/>
      <c r="IF76" s="76"/>
      <c r="IG76" s="76"/>
      <c r="IH76" s="76"/>
      <c r="II76" s="76"/>
      <c r="IJ76" s="76"/>
      <c r="IK76" s="76"/>
      <c r="IL76" s="76"/>
      <c r="IM76" s="76"/>
      <c r="IN76" s="76"/>
      <c r="IO76" s="76"/>
      <c r="IP76" s="76"/>
      <c r="IQ76" s="76"/>
      <c r="IR76" s="76"/>
      <c r="IS76" s="76"/>
      <c r="IT76" s="76"/>
      <c r="IU76" s="76"/>
      <c r="IV76" s="76"/>
      <c r="IW76" s="76"/>
      <c r="IX76" s="76"/>
      <c r="IY76" s="76"/>
      <c r="IZ76" s="76"/>
      <c r="JA76" s="76"/>
      <c r="JB76" s="76"/>
      <c r="JG76" s="89"/>
    </row>
    <row r="77" spans="1:267" s="19" customFormat="1" ht="11.4" x14ac:dyDescent="0.25">
      <c r="A77" s="76"/>
      <c r="B77" s="76"/>
      <c r="C77" s="77"/>
      <c r="D77" s="78"/>
      <c r="E77" s="79"/>
      <c r="F77" s="80"/>
      <c r="G77" s="80"/>
      <c r="H77" s="81"/>
      <c r="I77" s="82"/>
      <c r="J77" s="83"/>
      <c r="K77" s="76"/>
      <c r="L77" s="76"/>
      <c r="M77" s="76"/>
      <c r="N77" s="76"/>
      <c r="O77" s="76"/>
      <c r="P77" s="76"/>
      <c r="Q77" s="76"/>
      <c r="R77" s="76"/>
      <c r="S77" s="76"/>
      <c r="T77" s="76"/>
      <c r="U77" s="76"/>
      <c r="V77" s="76"/>
      <c r="W77" s="76"/>
      <c r="X77" s="76"/>
      <c r="Y77" s="76"/>
      <c r="Z77" s="76"/>
      <c r="AA77" s="76"/>
      <c r="AB77" s="76"/>
      <c r="AC77" s="76"/>
      <c r="AD77" s="76"/>
      <c r="AE77" s="76"/>
      <c r="AF77" s="76"/>
      <c r="AG77" s="76"/>
      <c r="AH77" s="76"/>
      <c r="AI77" s="76"/>
      <c r="AJ77" s="76"/>
      <c r="AK77" s="76"/>
      <c r="AL77" s="76"/>
      <c r="AM77" s="76"/>
      <c r="AN77" s="76"/>
      <c r="AO77" s="76"/>
      <c r="AP77" s="76"/>
      <c r="AQ77" s="76"/>
      <c r="AR77" s="76"/>
      <c r="AS77" s="76"/>
      <c r="AT77" s="76"/>
      <c r="AU77" s="76"/>
      <c r="AV77" s="76"/>
      <c r="AW77" s="76"/>
      <c r="AX77" s="76"/>
      <c r="AY77" s="76"/>
      <c r="AZ77" s="76"/>
      <c r="BA77" s="76"/>
      <c r="BB77" s="76"/>
      <c r="BC77" s="76"/>
      <c r="BD77" s="76"/>
      <c r="BE77" s="76"/>
      <c r="BF77" s="76"/>
      <c r="BG77" s="76"/>
      <c r="BH77" s="76"/>
      <c r="BI77" s="76"/>
      <c r="BJ77" s="76"/>
      <c r="BK77" s="76"/>
      <c r="BL77" s="76"/>
      <c r="BM77" s="76"/>
      <c r="BN77" s="76"/>
      <c r="BO77" s="76"/>
      <c r="BP77" s="76"/>
      <c r="BQ77" s="76"/>
      <c r="BR77" s="76"/>
      <c r="BS77" s="76"/>
      <c r="BT77" s="76"/>
      <c r="BU77" s="76"/>
      <c r="BV77" s="76"/>
      <c r="BW77" s="76"/>
      <c r="BX77" s="76"/>
      <c r="BY77" s="76"/>
      <c r="BZ77" s="76"/>
      <c r="CA77" s="76"/>
      <c r="CB77" s="76"/>
      <c r="CC77" s="76"/>
      <c r="CD77" s="76"/>
      <c r="CE77" s="76"/>
      <c r="CF77" s="76"/>
      <c r="CG77" s="76"/>
      <c r="CH77" s="76"/>
      <c r="CI77" s="76"/>
      <c r="CJ77" s="76"/>
      <c r="CK77" s="76"/>
      <c r="CL77" s="76"/>
      <c r="CM77" s="76"/>
      <c r="CN77" s="76"/>
      <c r="CO77" s="76"/>
      <c r="CP77" s="76"/>
      <c r="CQ77" s="76"/>
      <c r="CR77" s="76"/>
      <c r="CS77" s="76"/>
      <c r="CT77" s="76"/>
      <c r="CU77" s="76"/>
      <c r="CV77" s="76"/>
      <c r="CW77" s="76"/>
      <c r="CX77" s="76"/>
      <c r="CY77" s="76"/>
      <c r="CZ77" s="76"/>
      <c r="DA77" s="76"/>
      <c r="DB77" s="76"/>
      <c r="DC77" s="76"/>
      <c r="DD77" s="76"/>
      <c r="DE77" s="76"/>
      <c r="DF77" s="76"/>
      <c r="DG77" s="76"/>
      <c r="DH77" s="76"/>
      <c r="DI77" s="76"/>
      <c r="DJ77" s="76"/>
      <c r="DK77" s="76"/>
      <c r="DL77" s="76"/>
      <c r="DM77" s="76"/>
      <c r="DN77" s="76"/>
      <c r="DO77" s="76"/>
      <c r="DP77" s="76"/>
      <c r="DQ77" s="76"/>
      <c r="DR77" s="76"/>
      <c r="DS77" s="76"/>
      <c r="DT77" s="76"/>
      <c r="DU77" s="76"/>
      <c r="DV77" s="76"/>
      <c r="DW77" s="76"/>
      <c r="DX77" s="76"/>
      <c r="DY77" s="76"/>
      <c r="DZ77" s="76"/>
      <c r="EA77" s="76"/>
      <c r="EB77" s="76"/>
      <c r="EC77" s="76"/>
      <c r="ED77" s="76"/>
      <c r="EE77" s="76"/>
      <c r="EF77" s="76"/>
      <c r="EG77" s="76"/>
      <c r="EH77" s="76"/>
      <c r="EI77" s="76"/>
      <c r="EJ77" s="76"/>
      <c r="EK77" s="76"/>
      <c r="EL77" s="76"/>
      <c r="EM77" s="76"/>
      <c r="EN77" s="76"/>
      <c r="EO77" s="76"/>
      <c r="EP77" s="76"/>
      <c r="EQ77" s="76"/>
      <c r="ER77" s="76"/>
      <c r="ES77" s="76"/>
      <c r="ET77" s="76"/>
      <c r="EU77" s="76"/>
      <c r="EV77" s="76"/>
      <c r="EW77" s="76"/>
      <c r="EX77" s="76"/>
      <c r="EY77" s="76"/>
      <c r="EZ77" s="76"/>
      <c r="FA77" s="76"/>
      <c r="FB77" s="76"/>
      <c r="FC77" s="76"/>
      <c r="FD77" s="76"/>
      <c r="FE77" s="76"/>
      <c r="FF77" s="76"/>
      <c r="FG77" s="76"/>
      <c r="FH77" s="76"/>
      <c r="FI77" s="76"/>
      <c r="FJ77" s="76"/>
      <c r="FK77" s="76"/>
      <c r="FL77" s="76"/>
      <c r="FM77" s="76"/>
      <c r="FN77" s="76"/>
      <c r="FO77" s="76"/>
      <c r="FP77" s="76"/>
      <c r="FQ77" s="76"/>
      <c r="FR77" s="76"/>
      <c r="FS77" s="76"/>
      <c r="FT77" s="76"/>
      <c r="FU77" s="76"/>
      <c r="FV77" s="76"/>
      <c r="FW77" s="76"/>
      <c r="FX77" s="76"/>
      <c r="FY77" s="76"/>
      <c r="FZ77" s="76"/>
      <c r="GA77" s="76"/>
      <c r="GB77" s="76"/>
      <c r="GC77" s="76"/>
      <c r="GD77" s="76"/>
      <c r="GE77" s="76"/>
      <c r="GF77" s="76"/>
      <c r="GG77" s="76"/>
      <c r="GH77" s="76"/>
      <c r="GI77" s="76"/>
      <c r="GJ77" s="76"/>
      <c r="GK77" s="76"/>
      <c r="GL77" s="76"/>
      <c r="GM77" s="76"/>
      <c r="GN77" s="76"/>
      <c r="GO77" s="76"/>
      <c r="GP77" s="76"/>
      <c r="GQ77" s="76"/>
      <c r="GR77" s="76"/>
      <c r="GS77" s="76"/>
      <c r="GT77" s="76"/>
      <c r="GU77" s="76"/>
      <c r="GV77" s="76"/>
      <c r="GW77" s="76"/>
      <c r="GX77" s="76"/>
      <c r="GY77" s="76"/>
      <c r="GZ77" s="76"/>
      <c r="HA77" s="76"/>
      <c r="HB77" s="76"/>
      <c r="HC77" s="76"/>
      <c r="HD77" s="76"/>
      <c r="HE77" s="76"/>
      <c r="HF77" s="76"/>
      <c r="HG77" s="76"/>
      <c r="HH77" s="76"/>
      <c r="HI77" s="76"/>
      <c r="HJ77" s="76"/>
      <c r="HK77" s="76"/>
      <c r="HL77" s="76"/>
      <c r="HM77" s="76"/>
      <c r="HN77" s="76"/>
      <c r="HO77" s="76"/>
      <c r="HP77" s="76"/>
      <c r="HQ77" s="76"/>
      <c r="HR77" s="76"/>
      <c r="HS77" s="76"/>
      <c r="HT77" s="76"/>
      <c r="HU77" s="76"/>
      <c r="HV77" s="76"/>
      <c r="HW77" s="76"/>
      <c r="HX77" s="76"/>
      <c r="HY77" s="76"/>
      <c r="HZ77" s="76"/>
      <c r="IA77" s="76"/>
      <c r="IB77" s="76"/>
      <c r="IC77" s="76"/>
      <c r="ID77" s="76"/>
      <c r="IE77" s="76"/>
      <c r="IF77" s="76"/>
      <c r="IG77" s="76"/>
      <c r="IH77" s="76"/>
      <c r="II77" s="76"/>
      <c r="IJ77" s="76"/>
      <c r="IK77" s="76"/>
      <c r="IL77" s="76"/>
      <c r="IM77" s="76"/>
      <c r="IN77" s="76"/>
      <c r="IO77" s="76"/>
      <c r="IP77" s="76"/>
      <c r="IQ77" s="76"/>
      <c r="IR77" s="76"/>
      <c r="IS77" s="76"/>
      <c r="IT77" s="76"/>
      <c r="IU77" s="76"/>
      <c r="IV77" s="76"/>
      <c r="IW77" s="76"/>
      <c r="IX77" s="76"/>
      <c r="IY77" s="76"/>
      <c r="IZ77" s="76"/>
      <c r="JA77" s="76"/>
      <c r="JB77" s="76"/>
      <c r="JG77" s="89"/>
    </row>
    <row r="78" spans="1:267" s="19" customFormat="1" ht="11.4" x14ac:dyDescent="0.25">
      <c r="A78" s="76"/>
      <c r="B78" s="76"/>
      <c r="C78" s="77"/>
      <c r="D78" s="78"/>
      <c r="E78" s="79"/>
      <c r="F78" s="80"/>
      <c r="G78" s="80"/>
      <c r="H78" s="81"/>
      <c r="I78" s="82"/>
      <c r="J78" s="83"/>
      <c r="K78" s="76"/>
      <c r="L78" s="76"/>
      <c r="M78" s="76"/>
      <c r="N78" s="76"/>
      <c r="O78" s="76"/>
      <c r="P78" s="76"/>
      <c r="Q78" s="76"/>
      <c r="R78" s="76"/>
      <c r="S78" s="76"/>
      <c r="T78" s="76"/>
      <c r="U78" s="76"/>
      <c r="V78" s="76"/>
      <c r="W78" s="76"/>
      <c r="X78" s="76"/>
      <c r="Y78" s="76"/>
      <c r="Z78" s="76"/>
      <c r="AA78" s="76"/>
      <c r="AB78" s="76"/>
      <c r="AC78" s="76"/>
      <c r="AD78" s="76"/>
      <c r="AE78" s="76"/>
      <c r="AF78" s="76"/>
      <c r="AG78" s="76"/>
      <c r="AH78" s="76"/>
      <c r="AI78" s="76"/>
      <c r="AJ78" s="76"/>
      <c r="AK78" s="76"/>
      <c r="AL78" s="76"/>
      <c r="AM78" s="76"/>
      <c r="AN78" s="76"/>
      <c r="AO78" s="76"/>
      <c r="AP78" s="76"/>
      <c r="AQ78" s="76"/>
      <c r="AR78" s="76"/>
      <c r="AS78" s="76"/>
      <c r="AT78" s="76"/>
      <c r="AU78" s="76"/>
      <c r="AV78" s="76"/>
      <c r="AW78" s="76"/>
      <c r="AX78" s="76"/>
      <c r="AY78" s="76"/>
      <c r="AZ78" s="76"/>
      <c r="BA78" s="76"/>
      <c r="BB78" s="76"/>
      <c r="BC78" s="76"/>
      <c r="BD78" s="76"/>
      <c r="BE78" s="76"/>
      <c r="BF78" s="76"/>
      <c r="BG78" s="76"/>
      <c r="BH78" s="76"/>
      <c r="BI78" s="76"/>
      <c r="BJ78" s="76"/>
      <c r="BK78" s="76"/>
      <c r="BL78" s="76"/>
      <c r="BM78" s="76"/>
      <c r="BN78" s="76"/>
      <c r="BO78" s="76"/>
      <c r="BP78" s="76"/>
      <c r="BQ78" s="76"/>
      <c r="BR78" s="76"/>
      <c r="BS78" s="76"/>
      <c r="BT78" s="76"/>
      <c r="BU78" s="76"/>
      <c r="BV78" s="76"/>
      <c r="BW78" s="76"/>
      <c r="BX78" s="76"/>
      <c r="BY78" s="76"/>
      <c r="BZ78" s="76"/>
      <c r="CA78" s="76"/>
      <c r="CB78" s="76"/>
      <c r="CC78" s="76"/>
      <c r="CD78" s="76"/>
      <c r="CE78" s="76"/>
      <c r="CF78" s="76"/>
      <c r="CG78" s="76"/>
      <c r="CH78" s="76"/>
      <c r="CI78" s="76"/>
      <c r="CJ78" s="76"/>
      <c r="CK78" s="76"/>
      <c r="CL78" s="76"/>
      <c r="CM78" s="76"/>
      <c r="CN78" s="76"/>
      <c r="CO78" s="76"/>
      <c r="CP78" s="76"/>
      <c r="CQ78" s="76"/>
      <c r="CR78" s="76"/>
      <c r="CS78" s="76"/>
      <c r="CT78" s="76"/>
      <c r="CU78" s="76"/>
      <c r="CV78" s="76"/>
      <c r="CW78" s="76"/>
      <c r="CX78" s="76"/>
      <c r="CY78" s="76"/>
      <c r="CZ78" s="76"/>
      <c r="DA78" s="76"/>
      <c r="DB78" s="76"/>
      <c r="DC78" s="76"/>
      <c r="DD78" s="76"/>
      <c r="DE78" s="76"/>
      <c r="DF78" s="76"/>
      <c r="DG78" s="76"/>
      <c r="DH78" s="76"/>
      <c r="DI78" s="76"/>
      <c r="DJ78" s="76"/>
      <c r="DK78" s="76"/>
      <c r="DL78" s="76"/>
      <c r="DM78" s="76"/>
      <c r="DN78" s="76"/>
      <c r="DO78" s="76"/>
      <c r="DP78" s="76"/>
      <c r="DQ78" s="76"/>
      <c r="DR78" s="76"/>
      <c r="DS78" s="76"/>
      <c r="DT78" s="76"/>
      <c r="DU78" s="76"/>
      <c r="DV78" s="76"/>
      <c r="DW78" s="76"/>
      <c r="DX78" s="76"/>
      <c r="DY78" s="76"/>
      <c r="DZ78" s="76"/>
      <c r="EA78" s="76"/>
      <c r="EB78" s="76"/>
      <c r="EC78" s="76"/>
      <c r="ED78" s="76"/>
      <c r="EE78" s="76"/>
      <c r="EF78" s="76"/>
      <c r="EG78" s="76"/>
      <c r="EH78" s="76"/>
      <c r="EI78" s="76"/>
      <c r="EJ78" s="76"/>
      <c r="EK78" s="76"/>
      <c r="EL78" s="76"/>
      <c r="EM78" s="76"/>
      <c r="EN78" s="76"/>
      <c r="EO78" s="76"/>
      <c r="EP78" s="76"/>
      <c r="EQ78" s="76"/>
      <c r="ER78" s="76"/>
      <c r="ES78" s="76"/>
      <c r="ET78" s="76"/>
      <c r="EU78" s="76"/>
      <c r="EV78" s="76"/>
      <c r="EW78" s="76"/>
      <c r="EX78" s="76"/>
      <c r="EY78" s="76"/>
      <c r="EZ78" s="76"/>
      <c r="FA78" s="76"/>
      <c r="FB78" s="76"/>
      <c r="FC78" s="76"/>
      <c r="FD78" s="76"/>
      <c r="FE78" s="76"/>
      <c r="FF78" s="76"/>
      <c r="FG78" s="76"/>
      <c r="FH78" s="76"/>
      <c r="FI78" s="76"/>
      <c r="FJ78" s="76"/>
      <c r="FK78" s="76"/>
      <c r="FL78" s="76"/>
      <c r="FM78" s="76"/>
      <c r="FN78" s="76"/>
      <c r="FO78" s="76"/>
      <c r="FP78" s="76"/>
      <c r="FQ78" s="76"/>
      <c r="FR78" s="76"/>
      <c r="FS78" s="76"/>
      <c r="FT78" s="76"/>
      <c r="FU78" s="76"/>
      <c r="FV78" s="76"/>
      <c r="FW78" s="76"/>
      <c r="FX78" s="76"/>
      <c r="FY78" s="76"/>
      <c r="FZ78" s="76"/>
      <c r="GA78" s="76"/>
      <c r="GB78" s="76"/>
      <c r="GC78" s="76"/>
      <c r="GD78" s="76"/>
      <c r="GE78" s="76"/>
      <c r="GF78" s="76"/>
      <c r="GG78" s="76"/>
      <c r="GH78" s="76"/>
      <c r="GI78" s="76"/>
      <c r="GJ78" s="76"/>
      <c r="GK78" s="76"/>
      <c r="GL78" s="76"/>
      <c r="GM78" s="76"/>
      <c r="GN78" s="76"/>
      <c r="GO78" s="76"/>
      <c r="GP78" s="76"/>
      <c r="GQ78" s="76"/>
      <c r="GR78" s="76"/>
      <c r="GS78" s="76"/>
      <c r="GT78" s="76"/>
      <c r="GU78" s="76"/>
      <c r="GV78" s="76"/>
      <c r="GW78" s="76"/>
      <c r="GX78" s="76"/>
      <c r="GY78" s="76"/>
      <c r="GZ78" s="76"/>
      <c r="HA78" s="76"/>
      <c r="HB78" s="76"/>
      <c r="HC78" s="76"/>
      <c r="HD78" s="76"/>
      <c r="HE78" s="76"/>
      <c r="HF78" s="76"/>
      <c r="HG78" s="76"/>
      <c r="HH78" s="76"/>
      <c r="HI78" s="76"/>
      <c r="HJ78" s="76"/>
      <c r="HK78" s="76"/>
      <c r="HL78" s="76"/>
      <c r="HM78" s="76"/>
      <c r="HN78" s="76"/>
      <c r="HO78" s="76"/>
      <c r="HP78" s="76"/>
      <c r="HQ78" s="76"/>
      <c r="HR78" s="76"/>
      <c r="HS78" s="76"/>
      <c r="HT78" s="76"/>
      <c r="HU78" s="76"/>
      <c r="HV78" s="76"/>
      <c r="HW78" s="76"/>
      <c r="HX78" s="76"/>
      <c r="HY78" s="76"/>
      <c r="HZ78" s="76"/>
      <c r="IA78" s="76"/>
      <c r="IB78" s="76"/>
      <c r="IC78" s="76"/>
      <c r="ID78" s="76"/>
      <c r="IE78" s="76"/>
      <c r="IF78" s="76"/>
      <c r="IG78" s="76"/>
      <c r="IH78" s="76"/>
      <c r="II78" s="76"/>
      <c r="IJ78" s="76"/>
      <c r="IK78" s="76"/>
      <c r="IL78" s="76"/>
      <c r="IM78" s="76"/>
      <c r="IN78" s="76"/>
      <c r="IO78" s="76"/>
      <c r="IP78" s="76"/>
      <c r="IQ78" s="76"/>
      <c r="IR78" s="76"/>
      <c r="IS78" s="76"/>
      <c r="IT78" s="76"/>
      <c r="IU78" s="76"/>
      <c r="IV78" s="76"/>
      <c r="IW78" s="76"/>
      <c r="IX78" s="76"/>
      <c r="IY78" s="76"/>
      <c r="IZ78" s="76"/>
      <c r="JA78" s="76"/>
      <c r="JB78" s="76"/>
      <c r="JG78" s="89"/>
    </row>
    <row r="79" spans="1:267" s="19" customFormat="1" ht="11.4" x14ac:dyDescent="0.25">
      <c r="A79" s="76"/>
      <c r="B79" s="76"/>
      <c r="C79" s="77"/>
      <c r="D79" s="78"/>
      <c r="E79" s="79"/>
      <c r="F79" s="80"/>
      <c r="G79" s="80"/>
      <c r="H79" s="81"/>
      <c r="I79" s="82"/>
      <c r="J79" s="83"/>
      <c r="K79" s="76"/>
      <c r="L79" s="76"/>
      <c r="M79" s="76"/>
      <c r="N79" s="76"/>
      <c r="O79" s="76"/>
      <c r="P79" s="76"/>
      <c r="Q79" s="76"/>
      <c r="R79" s="76"/>
      <c r="S79" s="76"/>
      <c r="T79" s="76"/>
      <c r="U79" s="76"/>
      <c r="V79" s="76"/>
      <c r="W79" s="76"/>
      <c r="X79" s="76"/>
      <c r="Y79" s="76"/>
      <c r="Z79" s="76"/>
      <c r="AA79" s="76"/>
      <c r="AB79" s="76"/>
      <c r="AC79" s="76"/>
      <c r="AD79" s="76"/>
      <c r="AE79" s="76"/>
      <c r="AF79" s="76"/>
      <c r="AG79" s="76"/>
      <c r="AH79" s="76"/>
      <c r="AI79" s="76"/>
      <c r="AJ79" s="76"/>
      <c r="AK79" s="76"/>
      <c r="AL79" s="76"/>
      <c r="AM79" s="76"/>
      <c r="AN79" s="76"/>
      <c r="AO79" s="76"/>
      <c r="AP79" s="76"/>
      <c r="AQ79" s="76"/>
      <c r="AR79" s="76"/>
      <c r="AS79" s="76"/>
      <c r="AT79" s="76"/>
      <c r="AU79" s="76"/>
      <c r="AV79" s="76"/>
      <c r="AW79" s="76"/>
      <c r="AX79" s="76"/>
      <c r="AY79" s="76"/>
      <c r="AZ79" s="76"/>
      <c r="BA79" s="76"/>
      <c r="BB79" s="76"/>
      <c r="BC79" s="76"/>
      <c r="BD79" s="76"/>
      <c r="BE79" s="76"/>
      <c r="BF79" s="76"/>
      <c r="BG79" s="76"/>
      <c r="BH79" s="76"/>
      <c r="BI79" s="76"/>
      <c r="BJ79" s="76"/>
      <c r="BK79" s="76"/>
      <c r="BL79" s="76"/>
      <c r="BM79" s="76"/>
      <c r="BN79" s="76"/>
      <c r="BO79" s="76"/>
      <c r="BP79" s="76"/>
      <c r="BQ79" s="76"/>
      <c r="BR79" s="76"/>
      <c r="BS79" s="76"/>
      <c r="BT79" s="76"/>
      <c r="BU79" s="76"/>
      <c r="BV79" s="76"/>
      <c r="BW79" s="76"/>
      <c r="BX79" s="76"/>
      <c r="BY79" s="76"/>
      <c r="BZ79" s="76"/>
      <c r="CA79" s="76"/>
      <c r="CB79" s="76"/>
      <c r="CC79" s="76"/>
      <c r="CD79" s="76"/>
      <c r="CE79" s="76"/>
      <c r="CF79" s="76"/>
      <c r="CG79" s="76"/>
      <c r="CH79" s="76"/>
      <c r="CI79" s="76"/>
      <c r="CJ79" s="76"/>
      <c r="CK79" s="76"/>
      <c r="CL79" s="76"/>
      <c r="CM79" s="76"/>
      <c r="CN79" s="76"/>
      <c r="CO79" s="76"/>
      <c r="CP79" s="76"/>
      <c r="CQ79" s="76"/>
      <c r="CR79" s="76"/>
      <c r="CS79" s="76"/>
      <c r="CT79" s="76"/>
      <c r="CU79" s="76"/>
      <c r="CV79" s="76"/>
      <c r="CW79" s="76"/>
      <c r="CX79" s="76"/>
      <c r="CY79" s="76"/>
      <c r="CZ79" s="76"/>
      <c r="DA79" s="76"/>
      <c r="DB79" s="76"/>
      <c r="DC79" s="76"/>
      <c r="DD79" s="76"/>
      <c r="DE79" s="76"/>
      <c r="DF79" s="76"/>
      <c r="DG79" s="76"/>
      <c r="DH79" s="76"/>
      <c r="DI79" s="76"/>
      <c r="DJ79" s="76"/>
      <c r="DK79" s="76"/>
      <c r="DL79" s="76"/>
      <c r="DM79" s="76"/>
      <c r="DN79" s="76"/>
      <c r="DO79" s="76"/>
      <c r="DP79" s="76"/>
      <c r="DQ79" s="76"/>
      <c r="DR79" s="76"/>
      <c r="DS79" s="76"/>
      <c r="DT79" s="76"/>
      <c r="DU79" s="76"/>
      <c r="DV79" s="76"/>
      <c r="DW79" s="76"/>
      <c r="DX79" s="76"/>
      <c r="DY79" s="76"/>
      <c r="DZ79" s="76"/>
      <c r="EA79" s="76"/>
      <c r="EB79" s="76"/>
      <c r="EC79" s="76"/>
      <c r="ED79" s="76"/>
      <c r="EE79" s="76"/>
      <c r="EF79" s="76"/>
      <c r="EG79" s="76"/>
      <c r="EH79" s="76"/>
      <c r="EI79" s="76"/>
      <c r="EJ79" s="76"/>
      <c r="EK79" s="76"/>
      <c r="EL79" s="76"/>
      <c r="EM79" s="76"/>
      <c r="EN79" s="76"/>
      <c r="EO79" s="76"/>
      <c r="EP79" s="76"/>
      <c r="EQ79" s="76"/>
      <c r="ER79" s="76"/>
      <c r="ES79" s="76"/>
      <c r="ET79" s="76"/>
      <c r="EU79" s="76"/>
      <c r="EV79" s="76"/>
      <c r="EW79" s="76"/>
      <c r="EX79" s="76"/>
      <c r="EY79" s="76"/>
      <c r="EZ79" s="76"/>
      <c r="FA79" s="76"/>
      <c r="FB79" s="76"/>
      <c r="FC79" s="76"/>
      <c r="FD79" s="76"/>
      <c r="FE79" s="76"/>
      <c r="FF79" s="76"/>
      <c r="FG79" s="76"/>
      <c r="FH79" s="76"/>
      <c r="FI79" s="76"/>
      <c r="FJ79" s="76"/>
      <c r="FK79" s="76"/>
      <c r="FL79" s="76"/>
      <c r="FM79" s="76"/>
      <c r="FN79" s="76"/>
      <c r="FO79" s="76"/>
      <c r="FP79" s="76"/>
      <c r="FQ79" s="76"/>
      <c r="FR79" s="76"/>
      <c r="FS79" s="76"/>
      <c r="FT79" s="76"/>
      <c r="FU79" s="76"/>
      <c r="FV79" s="76"/>
      <c r="FW79" s="76"/>
      <c r="FX79" s="76"/>
      <c r="FY79" s="76"/>
      <c r="FZ79" s="76"/>
      <c r="GA79" s="76"/>
      <c r="GB79" s="76"/>
      <c r="GC79" s="76"/>
      <c r="GD79" s="76"/>
      <c r="GE79" s="76"/>
      <c r="GF79" s="76"/>
      <c r="GG79" s="76"/>
      <c r="GH79" s="76"/>
      <c r="GI79" s="76"/>
      <c r="GJ79" s="76"/>
      <c r="GK79" s="76"/>
      <c r="GL79" s="76"/>
      <c r="GM79" s="76"/>
      <c r="GN79" s="76"/>
      <c r="GO79" s="76"/>
      <c r="GP79" s="76"/>
      <c r="GQ79" s="76"/>
      <c r="GR79" s="76"/>
      <c r="GS79" s="76"/>
      <c r="GT79" s="76"/>
      <c r="GU79" s="76"/>
      <c r="GV79" s="76"/>
      <c r="GW79" s="76"/>
      <c r="GX79" s="76"/>
      <c r="GY79" s="76"/>
      <c r="GZ79" s="76"/>
      <c r="HA79" s="76"/>
      <c r="HB79" s="76"/>
      <c r="HC79" s="76"/>
      <c r="HD79" s="76"/>
      <c r="HE79" s="76"/>
      <c r="HF79" s="76"/>
      <c r="HG79" s="76"/>
      <c r="HH79" s="76"/>
      <c r="HI79" s="76"/>
      <c r="HJ79" s="76"/>
      <c r="HK79" s="76"/>
      <c r="HL79" s="76"/>
      <c r="HM79" s="76"/>
      <c r="HN79" s="76"/>
      <c r="HO79" s="76"/>
      <c r="HP79" s="76"/>
      <c r="HQ79" s="76"/>
      <c r="HR79" s="76"/>
      <c r="HS79" s="76"/>
      <c r="HT79" s="76"/>
      <c r="HU79" s="76"/>
      <c r="HV79" s="76"/>
      <c r="HW79" s="76"/>
      <c r="HX79" s="76"/>
      <c r="HY79" s="76"/>
      <c r="HZ79" s="76"/>
      <c r="IA79" s="76"/>
      <c r="IB79" s="76"/>
      <c r="IC79" s="76"/>
      <c r="ID79" s="76"/>
      <c r="IE79" s="76"/>
      <c r="IF79" s="76"/>
      <c r="IG79" s="76"/>
      <c r="IH79" s="76"/>
      <c r="II79" s="76"/>
      <c r="IJ79" s="76"/>
      <c r="IK79" s="76"/>
      <c r="IL79" s="76"/>
      <c r="IM79" s="76"/>
      <c r="IN79" s="76"/>
      <c r="IO79" s="76"/>
      <c r="IP79" s="76"/>
      <c r="IQ79" s="76"/>
      <c r="IR79" s="76"/>
      <c r="IS79" s="76"/>
      <c r="IT79" s="76"/>
      <c r="IU79" s="76"/>
      <c r="IV79" s="76"/>
      <c r="IW79" s="76"/>
      <c r="IX79" s="76"/>
      <c r="IY79" s="76"/>
      <c r="IZ79" s="76"/>
      <c r="JA79" s="76"/>
      <c r="JB79" s="76"/>
      <c r="JG79" s="89"/>
    </row>
    <row r="80" spans="1:267" s="19" customFormat="1" ht="11.4" x14ac:dyDescent="0.25">
      <c r="A80" s="76"/>
      <c r="B80" s="76"/>
      <c r="C80" s="77"/>
      <c r="D80" s="78"/>
      <c r="E80" s="79"/>
      <c r="F80" s="80"/>
      <c r="G80" s="80"/>
      <c r="H80" s="81"/>
      <c r="I80" s="82"/>
      <c r="J80" s="83"/>
      <c r="K80" s="76"/>
      <c r="L80" s="76"/>
      <c r="M80" s="76"/>
      <c r="N80" s="76"/>
      <c r="O80" s="76"/>
      <c r="P80" s="76"/>
      <c r="Q80" s="76"/>
      <c r="R80" s="76"/>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M80" s="76"/>
      <c r="CN80" s="76"/>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c r="DM80" s="76"/>
      <c r="DN80" s="76"/>
      <c r="DO80" s="76"/>
      <c r="DP80" s="76"/>
      <c r="DQ80" s="76"/>
      <c r="DR80" s="76"/>
      <c r="DS80" s="76"/>
      <c r="DT80" s="76"/>
      <c r="DU80" s="76"/>
      <c r="DV80" s="76"/>
      <c r="DW80" s="76"/>
      <c r="DX80" s="76"/>
      <c r="DY80" s="76"/>
      <c r="DZ80" s="76"/>
      <c r="EA80" s="76"/>
      <c r="EB80" s="76"/>
      <c r="EC80" s="76"/>
      <c r="ED80" s="76"/>
      <c r="EE80" s="76"/>
      <c r="EF80" s="76"/>
      <c r="EG80" s="76"/>
      <c r="EH80" s="76"/>
      <c r="EI80" s="76"/>
      <c r="EJ80" s="76"/>
      <c r="EK80" s="76"/>
      <c r="EL80" s="76"/>
      <c r="EM80" s="76"/>
      <c r="EN80" s="76"/>
      <c r="EO80" s="76"/>
      <c r="EP80" s="76"/>
      <c r="EQ80" s="76"/>
      <c r="ER80" s="76"/>
      <c r="ES80" s="76"/>
      <c r="ET80" s="76"/>
      <c r="EU80" s="76"/>
      <c r="EV80" s="76"/>
      <c r="EW80" s="76"/>
      <c r="EX80" s="76"/>
      <c r="EY80" s="76"/>
      <c r="EZ80" s="76"/>
      <c r="FA80" s="76"/>
      <c r="FB80" s="76"/>
      <c r="FC80" s="76"/>
      <c r="FD80" s="76"/>
      <c r="FE80" s="76"/>
      <c r="FF80" s="76"/>
      <c r="FG80" s="76"/>
      <c r="FH80" s="76"/>
      <c r="FI80" s="76"/>
      <c r="FJ80" s="76"/>
      <c r="FK80" s="76"/>
      <c r="FL80" s="76"/>
      <c r="FM80" s="76"/>
      <c r="FN80" s="76"/>
      <c r="FO80" s="76"/>
      <c r="FP80" s="76"/>
      <c r="FQ80" s="76"/>
      <c r="FR80" s="76"/>
      <c r="FS80" s="76"/>
      <c r="FT80" s="76"/>
      <c r="FU80" s="76"/>
      <c r="FV80" s="76"/>
      <c r="FW80" s="76"/>
      <c r="FX80" s="76"/>
      <c r="FY80" s="76"/>
      <c r="FZ80" s="76"/>
      <c r="GA80" s="76"/>
      <c r="GB80" s="76"/>
      <c r="GC80" s="76"/>
      <c r="GD80" s="76"/>
      <c r="GE80" s="76"/>
      <c r="GF80" s="76"/>
      <c r="GG80" s="76"/>
      <c r="GH80" s="76"/>
      <c r="GI80" s="76"/>
      <c r="GJ80" s="76"/>
      <c r="GK80" s="76"/>
      <c r="GL80" s="76"/>
      <c r="GM80" s="76"/>
      <c r="GN80" s="76"/>
      <c r="GO80" s="76"/>
      <c r="GP80" s="76"/>
      <c r="GQ80" s="76"/>
      <c r="GR80" s="76"/>
      <c r="GS80" s="76"/>
      <c r="GT80" s="76"/>
      <c r="GU80" s="76"/>
      <c r="GV80" s="76"/>
      <c r="GW80" s="76"/>
      <c r="GX80" s="76"/>
      <c r="GY80" s="76"/>
      <c r="GZ80" s="76"/>
      <c r="HA80" s="76"/>
      <c r="HB80" s="76"/>
      <c r="HC80" s="76"/>
      <c r="HD80" s="76"/>
      <c r="HE80" s="76"/>
      <c r="HF80" s="76"/>
      <c r="HG80" s="76"/>
      <c r="HH80" s="76"/>
      <c r="HI80" s="76"/>
      <c r="HJ80" s="76"/>
      <c r="HK80" s="76"/>
      <c r="HL80" s="76"/>
      <c r="HM80" s="76"/>
      <c r="HN80" s="76"/>
      <c r="HO80" s="76"/>
      <c r="HP80" s="76"/>
      <c r="HQ80" s="76"/>
      <c r="HR80" s="76"/>
      <c r="HS80" s="76"/>
      <c r="HT80" s="76"/>
      <c r="HU80" s="76"/>
      <c r="HV80" s="76"/>
      <c r="HW80" s="76"/>
      <c r="HX80" s="76"/>
      <c r="HY80" s="76"/>
      <c r="HZ80" s="76"/>
      <c r="IA80" s="76"/>
      <c r="IB80" s="76"/>
      <c r="IC80" s="76"/>
      <c r="ID80" s="76"/>
      <c r="IE80" s="76"/>
      <c r="IF80" s="76"/>
      <c r="IG80" s="76"/>
      <c r="IH80" s="76"/>
      <c r="II80" s="76"/>
      <c r="IJ80" s="76"/>
      <c r="IK80" s="76"/>
      <c r="IL80" s="76"/>
      <c r="IM80" s="76"/>
      <c r="IN80" s="76"/>
      <c r="IO80" s="76"/>
      <c r="IP80" s="76"/>
      <c r="IQ80" s="76"/>
      <c r="IR80" s="76"/>
      <c r="IS80" s="76"/>
      <c r="IT80" s="76"/>
      <c r="IU80" s="76"/>
      <c r="IV80" s="76"/>
      <c r="IW80" s="76"/>
      <c r="IX80" s="76"/>
      <c r="IY80" s="76"/>
      <c r="IZ80" s="76"/>
      <c r="JA80" s="76"/>
      <c r="JB80" s="76"/>
      <c r="JG80" s="89"/>
    </row>
    <row r="81" spans="1:267" s="19" customFormat="1" ht="11.4" x14ac:dyDescent="0.25">
      <c r="A81" s="76"/>
      <c r="B81" s="76"/>
      <c r="C81" s="77"/>
      <c r="D81" s="78"/>
      <c r="E81" s="79"/>
      <c r="F81" s="80"/>
      <c r="G81" s="80"/>
      <c r="H81" s="81"/>
      <c r="I81" s="82"/>
      <c r="J81" s="83"/>
      <c r="K81" s="76"/>
      <c r="L81" s="76"/>
      <c r="M81" s="76"/>
      <c r="N81" s="76"/>
      <c r="O81" s="76"/>
      <c r="P81" s="76"/>
      <c r="Q81" s="76"/>
      <c r="R81" s="76"/>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M81" s="76"/>
      <c r="CN81" s="76"/>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c r="DM81" s="76"/>
      <c r="DN81" s="76"/>
      <c r="DO81" s="76"/>
      <c r="DP81" s="76"/>
      <c r="DQ81" s="76"/>
      <c r="DR81" s="76"/>
      <c r="DS81" s="76"/>
      <c r="DT81" s="76"/>
      <c r="DU81" s="76"/>
      <c r="DV81" s="76"/>
      <c r="DW81" s="76"/>
      <c r="DX81" s="76"/>
      <c r="DY81" s="76"/>
      <c r="DZ81" s="76"/>
      <c r="EA81" s="76"/>
      <c r="EB81" s="76"/>
      <c r="EC81" s="76"/>
      <c r="ED81" s="76"/>
      <c r="EE81" s="76"/>
      <c r="EF81" s="76"/>
      <c r="EG81" s="76"/>
      <c r="EH81" s="76"/>
      <c r="EI81" s="76"/>
      <c r="EJ81" s="76"/>
      <c r="EK81" s="76"/>
      <c r="EL81" s="76"/>
      <c r="EM81" s="76"/>
      <c r="EN81" s="76"/>
      <c r="EO81" s="76"/>
      <c r="EP81" s="76"/>
      <c r="EQ81" s="76"/>
      <c r="ER81" s="76"/>
      <c r="ES81" s="76"/>
      <c r="ET81" s="76"/>
      <c r="EU81" s="76"/>
      <c r="EV81" s="76"/>
      <c r="EW81" s="76"/>
      <c r="EX81" s="76"/>
      <c r="EY81" s="76"/>
      <c r="EZ81" s="76"/>
      <c r="FA81" s="76"/>
      <c r="FB81" s="76"/>
      <c r="FC81" s="76"/>
      <c r="FD81" s="76"/>
      <c r="FE81" s="76"/>
      <c r="FF81" s="76"/>
      <c r="FG81" s="76"/>
      <c r="FH81" s="76"/>
      <c r="FI81" s="76"/>
      <c r="FJ81" s="76"/>
      <c r="FK81" s="76"/>
      <c r="FL81" s="76"/>
      <c r="FM81" s="76"/>
      <c r="FN81" s="76"/>
      <c r="FO81" s="76"/>
      <c r="FP81" s="76"/>
      <c r="FQ81" s="76"/>
      <c r="FR81" s="76"/>
      <c r="FS81" s="76"/>
      <c r="FT81" s="76"/>
      <c r="FU81" s="76"/>
      <c r="FV81" s="76"/>
      <c r="FW81" s="76"/>
      <c r="FX81" s="76"/>
      <c r="FY81" s="76"/>
      <c r="FZ81" s="76"/>
      <c r="GA81" s="76"/>
      <c r="GB81" s="76"/>
      <c r="GC81" s="76"/>
      <c r="GD81" s="76"/>
      <c r="GE81" s="76"/>
      <c r="GF81" s="76"/>
      <c r="GG81" s="76"/>
      <c r="GH81" s="76"/>
      <c r="GI81" s="76"/>
      <c r="GJ81" s="76"/>
      <c r="GK81" s="76"/>
      <c r="GL81" s="76"/>
      <c r="GM81" s="76"/>
      <c r="GN81" s="76"/>
      <c r="GO81" s="76"/>
      <c r="GP81" s="76"/>
      <c r="GQ81" s="76"/>
      <c r="GR81" s="76"/>
      <c r="GS81" s="76"/>
      <c r="GT81" s="76"/>
      <c r="GU81" s="76"/>
      <c r="GV81" s="76"/>
      <c r="GW81" s="76"/>
      <c r="GX81" s="76"/>
      <c r="GY81" s="76"/>
      <c r="GZ81" s="76"/>
      <c r="HA81" s="76"/>
      <c r="HB81" s="76"/>
      <c r="HC81" s="76"/>
      <c r="HD81" s="76"/>
      <c r="HE81" s="76"/>
      <c r="HF81" s="76"/>
      <c r="HG81" s="76"/>
      <c r="HH81" s="76"/>
      <c r="HI81" s="76"/>
      <c r="HJ81" s="76"/>
      <c r="HK81" s="76"/>
      <c r="HL81" s="76"/>
      <c r="HM81" s="76"/>
      <c r="HN81" s="76"/>
      <c r="HO81" s="76"/>
      <c r="HP81" s="76"/>
      <c r="HQ81" s="76"/>
      <c r="HR81" s="76"/>
      <c r="HS81" s="76"/>
      <c r="HT81" s="76"/>
      <c r="HU81" s="76"/>
      <c r="HV81" s="76"/>
      <c r="HW81" s="76"/>
      <c r="HX81" s="76"/>
      <c r="HY81" s="76"/>
      <c r="HZ81" s="76"/>
      <c r="IA81" s="76"/>
      <c r="IB81" s="76"/>
      <c r="IC81" s="76"/>
      <c r="ID81" s="76"/>
      <c r="IE81" s="76"/>
      <c r="IF81" s="76"/>
      <c r="IG81" s="76"/>
      <c r="IH81" s="76"/>
      <c r="II81" s="76"/>
      <c r="IJ81" s="76"/>
      <c r="IK81" s="76"/>
      <c r="IL81" s="76"/>
      <c r="IM81" s="76"/>
      <c r="IN81" s="76"/>
      <c r="IO81" s="76"/>
      <c r="IP81" s="76"/>
      <c r="IQ81" s="76"/>
      <c r="IR81" s="76"/>
      <c r="IS81" s="76"/>
      <c r="IT81" s="76"/>
      <c r="IU81" s="76"/>
      <c r="IV81" s="76"/>
      <c r="IW81" s="76"/>
      <c r="IX81" s="76"/>
      <c r="IY81" s="76"/>
      <c r="IZ81" s="76"/>
      <c r="JA81" s="76"/>
      <c r="JB81" s="76"/>
      <c r="JG81" s="89"/>
    </row>
    <row r="82" spans="1:267" s="19" customFormat="1" ht="11.4" x14ac:dyDescent="0.25">
      <c r="A82" s="76"/>
      <c r="B82" s="76"/>
      <c r="C82" s="77"/>
      <c r="D82" s="78"/>
      <c r="E82" s="79"/>
      <c r="F82" s="80"/>
      <c r="G82" s="80"/>
      <c r="H82" s="81"/>
      <c r="I82" s="82"/>
      <c r="J82" s="83"/>
      <c r="K82" s="76"/>
      <c r="L82" s="76"/>
      <c r="M82" s="76"/>
      <c r="N82" s="76"/>
      <c r="O82" s="76"/>
      <c r="P82" s="76"/>
      <c r="Q82" s="76"/>
      <c r="R82" s="76"/>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M82" s="76"/>
      <c r="CN82" s="76"/>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c r="DM82" s="76"/>
      <c r="DN82" s="76"/>
      <c r="DO82" s="76"/>
      <c r="DP82" s="76"/>
      <c r="DQ82" s="76"/>
      <c r="DR82" s="76"/>
      <c r="DS82" s="76"/>
      <c r="DT82" s="76"/>
      <c r="DU82" s="76"/>
      <c r="DV82" s="76"/>
      <c r="DW82" s="76"/>
      <c r="DX82" s="76"/>
      <c r="DY82" s="76"/>
      <c r="DZ82" s="76"/>
      <c r="EA82" s="76"/>
      <c r="EB82" s="76"/>
      <c r="EC82" s="76"/>
      <c r="ED82" s="76"/>
      <c r="EE82" s="76"/>
      <c r="EF82" s="76"/>
      <c r="EG82" s="76"/>
      <c r="EH82" s="76"/>
      <c r="EI82" s="76"/>
      <c r="EJ82" s="76"/>
      <c r="EK82" s="76"/>
      <c r="EL82" s="76"/>
      <c r="EM82" s="76"/>
      <c r="EN82" s="76"/>
      <c r="EO82" s="76"/>
      <c r="EP82" s="76"/>
      <c r="EQ82" s="76"/>
      <c r="ER82" s="76"/>
      <c r="ES82" s="76"/>
      <c r="ET82" s="76"/>
      <c r="EU82" s="76"/>
      <c r="EV82" s="76"/>
      <c r="EW82" s="76"/>
      <c r="EX82" s="76"/>
      <c r="EY82" s="76"/>
      <c r="EZ82" s="76"/>
      <c r="FA82" s="76"/>
      <c r="FB82" s="76"/>
      <c r="FC82" s="76"/>
      <c r="FD82" s="76"/>
      <c r="FE82" s="76"/>
      <c r="FF82" s="76"/>
      <c r="FG82" s="76"/>
      <c r="FH82" s="76"/>
      <c r="FI82" s="76"/>
      <c r="FJ82" s="76"/>
      <c r="FK82" s="76"/>
      <c r="FL82" s="76"/>
      <c r="FM82" s="76"/>
      <c r="FN82" s="76"/>
      <c r="FO82" s="76"/>
      <c r="FP82" s="76"/>
      <c r="FQ82" s="76"/>
      <c r="FR82" s="76"/>
      <c r="FS82" s="76"/>
      <c r="FT82" s="76"/>
      <c r="FU82" s="76"/>
      <c r="FV82" s="76"/>
      <c r="FW82" s="76"/>
      <c r="FX82" s="76"/>
      <c r="FY82" s="76"/>
      <c r="FZ82" s="76"/>
      <c r="GA82" s="76"/>
      <c r="GB82" s="76"/>
      <c r="GC82" s="76"/>
      <c r="GD82" s="76"/>
      <c r="GE82" s="76"/>
      <c r="GF82" s="76"/>
      <c r="GG82" s="76"/>
      <c r="GH82" s="76"/>
      <c r="GI82" s="76"/>
      <c r="GJ82" s="76"/>
      <c r="GK82" s="76"/>
      <c r="GL82" s="76"/>
      <c r="GM82" s="76"/>
      <c r="GN82" s="76"/>
      <c r="GO82" s="76"/>
      <c r="GP82" s="76"/>
      <c r="GQ82" s="76"/>
      <c r="GR82" s="76"/>
      <c r="GS82" s="76"/>
      <c r="GT82" s="76"/>
      <c r="GU82" s="76"/>
      <c r="GV82" s="76"/>
      <c r="GW82" s="76"/>
      <c r="GX82" s="76"/>
      <c r="GY82" s="76"/>
      <c r="GZ82" s="76"/>
      <c r="HA82" s="76"/>
      <c r="HB82" s="76"/>
      <c r="HC82" s="76"/>
      <c r="HD82" s="76"/>
      <c r="HE82" s="76"/>
      <c r="HF82" s="76"/>
      <c r="HG82" s="76"/>
      <c r="HH82" s="76"/>
      <c r="HI82" s="76"/>
      <c r="HJ82" s="76"/>
      <c r="HK82" s="76"/>
      <c r="HL82" s="76"/>
      <c r="HM82" s="76"/>
      <c r="HN82" s="76"/>
      <c r="HO82" s="76"/>
      <c r="HP82" s="76"/>
      <c r="HQ82" s="76"/>
      <c r="HR82" s="76"/>
      <c r="HS82" s="76"/>
      <c r="HT82" s="76"/>
      <c r="HU82" s="76"/>
      <c r="HV82" s="76"/>
      <c r="HW82" s="76"/>
      <c r="HX82" s="76"/>
      <c r="HY82" s="76"/>
      <c r="HZ82" s="76"/>
      <c r="IA82" s="76"/>
      <c r="IB82" s="76"/>
      <c r="IC82" s="76"/>
      <c r="ID82" s="76"/>
      <c r="IE82" s="76"/>
      <c r="IF82" s="76"/>
      <c r="IG82" s="76"/>
      <c r="IH82" s="76"/>
      <c r="II82" s="76"/>
      <c r="IJ82" s="76"/>
      <c r="IK82" s="76"/>
      <c r="IL82" s="76"/>
      <c r="IM82" s="76"/>
      <c r="IN82" s="76"/>
      <c r="IO82" s="76"/>
      <c r="IP82" s="76"/>
      <c r="IQ82" s="76"/>
      <c r="IR82" s="76"/>
      <c r="IS82" s="76"/>
      <c r="IT82" s="76"/>
      <c r="IU82" s="76"/>
      <c r="IV82" s="76"/>
      <c r="IW82" s="76"/>
      <c r="IX82" s="76"/>
      <c r="IY82" s="76"/>
      <c r="IZ82" s="76"/>
      <c r="JA82" s="76"/>
      <c r="JB82" s="76"/>
      <c r="JG82" s="89"/>
    </row>
    <row r="83" spans="1:267" s="19" customFormat="1" ht="11.4" x14ac:dyDescent="0.25">
      <c r="A83" s="76"/>
      <c r="B83" s="76"/>
      <c r="C83" s="77"/>
      <c r="D83" s="78"/>
      <c r="E83" s="79"/>
      <c r="F83" s="80"/>
      <c r="G83" s="80"/>
      <c r="H83" s="81"/>
      <c r="I83" s="82"/>
      <c r="J83" s="83"/>
      <c r="K83" s="76"/>
      <c r="L83" s="76"/>
      <c r="M83" s="76"/>
      <c r="N83" s="76"/>
      <c r="O83" s="76"/>
      <c r="P83" s="76"/>
      <c r="Q83" s="76"/>
      <c r="R83" s="76"/>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M83" s="76"/>
      <c r="CN83" s="76"/>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c r="DM83" s="76"/>
      <c r="DN83" s="76"/>
      <c r="DO83" s="76"/>
      <c r="DP83" s="76"/>
      <c r="DQ83" s="76"/>
      <c r="DR83" s="76"/>
      <c r="DS83" s="76"/>
      <c r="DT83" s="76"/>
      <c r="DU83" s="76"/>
      <c r="DV83" s="76"/>
      <c r="DW83" s="76"/>
      <c r="DX83" s="76"/>
      <c r="DY83" s="76"/>
      <c r="DZ83" s="76"/>
      <c r="EA83" s="76"/>
      <c r="EB83" s="76"/>
      <c r="EC83" s="76"/>
      <c r="ED83" s="76"/>
      <c r="EE83" s="76"/>
      <c r="EF83" s="76"/>
      <c r="EG83" s="76"/>
      <c r="EH83" s="76"/>
      <c r="EI83" s="76"/>
      <c r="EJ83" s="76"/>
      <c r="EK83" s="76"/>
      <c r="EL83" s="76"/>
      <c r="EM83" s="76"/>
      <c r="EN83" s="76"/>
      <c r="EO83" s="76"/>
      <c r="EP83" s="76"/>
      <c r="EQ83" s="76"/>
      <c r="ER83" s="76"/>
      <c r="ES83" s="76"/>
      <c r="ET83" s="76"/>
      <c r="EU83" s="76"/>
      <c r="EV83" s="76"/>
      <c r="EW83" s="76"/>
      <c r="EX83" s="76"/>
      <c r="EY83" s="76"/>
      <c r="EZ83" s="76"/>
      <c r="FA83" s="76"/>
      <c r="FB83" s="76"/>
      <c r="FC83" s="76"/>
      <c r="FD83" s="76"/>
      <c r="FE83" s="76"/>
      <c r="FF83" s="76"/>
      <c r="FG83" s="76"/>
      <c r="FH83" s="76"/>
      <c r="FI83" s="76"/>
      <c r="FJ83" s="76"/>
      <c r="FK83" s="76"/>
      <c r="FL83" s="76"/>
      <c r="FM83" s="76"/>
      <c r="FN83" s="76"/>
      <c r="FO83" s="76"/>
      <c r="FP83" s="76"/>
      <c r="FQ83" s="76"/>
      <c r="FR83" s="76"/>
      <c r="FS83" s="76"/>
      <c r="FT83" s="76"/>
      <c r="FU83" s="76"/>
      <c r="FV83" s="76"/>
      <c r="FW83" s="76"/>
      <c r="FX83" s="76"/>
      <c r="FY83" s="76"/>
      <c r="FZ83" s="76"/>
      <c r="GA83" s="76"/>
      <c r="GB83" s="76"/>
      <c r="GC83" s="76"/>
      <c r="GD83" s="76"/>
      <c r="GE83" s="76"/>
      <c r="GF83" s="76"/>
      <c r="GG83" s="76"/>
      <c r="GH83" s="76"/>
      <c r="GI83" s="76"/>
      <c r="GJ83" s="76"/>
      <c r="GK83" s="76"/>
      <c r="GL83" s="76"/>
      <c r="GM83" s="76"/>
      <c r="GN83" s="76"/>
      <c r="GO83" s="76"/>
      <c r="GP83" s="76"/>
      <c r="GQ83" s="76"/>
      <c r="GR83" s="76"/>
      <c r="GS83" s="76"/>
      <c r="GT83" s="76"/>
      <c r="GU83" s="76"/>
      <c r="GV83" s="76"/>
      <c r="GW83" s="76"/>
      <c r="GX83" s="76"/>
      <c r="GY83" s="76"/>
      <c r="GZ83" s="76"/>
      <c r="HA83" s="76"/>
      <c r="HB83" s="76"/>
      <c r="HC83" s="76"/>
      <c r="HD83" s="76"/>
      <c r="HE83" s="76"/>
      <c r="HF83" s="76"/>
      <c r="HG83" s="76"/>
      <c r="HH83" s="76"/>
      <c r="HI83" s="76"/>
      <c r="HJ83" s="76"/>
      <c r="HK83" s="76"/>
      <c r="HL83" s="76"/>
      <c r="HM83" s="76"/>
      <c r="HN83" s="76"/>
      <c r="HO83" s="76"/>
      <c r="HP83" s="76"/>
      <c r="HQ83" s="76"/>
      <c r="HR83" s="76"/>
      <c r="HS83" s="76"/>
      <c r="HT83" s="76"/>
      <c r="HU83" s="76"/>
      <c r="HV83" s="76"/>
      <c r="HW83" s="76"/>
      <c r="HX83" s="76"/>
      <c r="HY83" s="76"/>
      <c r="HZ83" s="76"/>
      <c r="IA83" s="76"/>
      <c r="IB83" s="76"/>
      <c r="IC83" s="76"/>
      <c r="ID83" s="76"/>
      <c r="IE83" s="76"/>
      <c r="IF83" s="76"/>
      <c r="IG83" s="76"/>
      <c r="IH83" s="76"/>
      <c r="II83" s="76"/>
      <c r="IJ83" s="76"/>
      <c r="IK83" s="76"/>
      <c r="IL83" s="76"/>
      <c r="IM83" s="76"/>
      <c r="IN83" s="76"/>
      <c r="IO83" s="76"/>
      <c r="IP83" s="76"/>
      <c r="IQ83" s="76"/>
      <c r="IR83" s="76"/>
      <c r="IS83" s="76"/>
      <c r="IT83" s="76"/>
      <c r="IU83" s="76"/>
      <c r="IV83" s="76"/>
      <c r="IW83" s="76"/>
      <c r="IX83" s="76"/>
      <c r="IY83" s="76"/>
      <c r="IZ83" s="76"/>
      <c r="JA83" s="76"/>
      <c r="JB83" s="76"/>
      <c r="JG83" s="89"/>
    </row>
    <row r="84" spans="1:267" s="19" customFormat="1" ht="11.4" x14ac:dyDescent="0.25">
      <c r="A84" s="76"/>
      <c r="B84" s="76"/>
      <c r="C84" s="77"/>
      <c r="D84" s="78"/>
      <c r="E84" s="79"/>
      <c r="F84" s="80"/>
      <c r="G84" s="80"/>
      <c r="H84" s="81"/>
      <c r="I84" s="82"/>
      <c r="J84" s="83"/>
      <c r="K84" s="76"/>
      <c r="L84" s="76"/>
      <c r="M84" s="76"/>
      <c r="N84" s="76"/>
      <c r="O84" s="76"/>
      <c r="P84" s="76"/>
      <c r="Q84" s="76"/>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76"/>
      <c r="AS84" s="76"/>
      <c r="AT84" s="76"/>
      <c r="AU84" s="76"/>
      <c r="AV84" s="76"/>
      <c r="AW84" s="76"/>
      <c r="AX84" s="76"/>
      <c r="AY84" s="76"/>
      <c r="AZ84" s="76"/>
      <c r="BA84" s="76"/>
      <c r="BB84" s="76"/>
      <c r="BC84" s="76"/>
      <c r="BD84" s="76"/>
      <c r="BE84" s="76"/>
      <c r="BF84" s="76"/>
      <c r="BG84" s="76"/>
      <c r="BH84" s="76"/>
      <c r="BI84" s="76"/>
      <c r="BJ84" s="76"/>
      <c r="BK84" s="76"/>
      <c r="BL84" s="76"/>
      <c r="BM84" s="76"/>
      <c r="BN84" s="76"/>
      <c r="BO84" s="76"/>
      <c r="BP84" s="76"/>
      <c r="BQ84" s="76"/>
      <c r="BR84" s="76"/>
      <c r="BS84" s="76"/>
      <c r="BT84" s="76"/>
      <c r="BU84" s="76"/>
      <c r="BV84" s="76"/>
      <c r="BW84" s="76"/>
      <c r="BX84" s="76"/>
      <c r="BY84" s="76"/>
      <c r="BZ84" s="76"/>
      <c r="CA84" s="76"/>
      <c r="CB84" s="76"/>
      <c r="CC84" s="76"/>
      <c r="CD84" s="76"/>
      <c r="CE84" s="76"/>
      <c r="CF84" s="76"/>
      <c r="CG84" s="76"/>
      <c r="CH84" s="76"/>
      <c r="CI84" s="76"/>
      <c r="CJ84" s="76"/>
      <c r="CK84" s="76"/>
      <c r="CL84" s="76"/>
      <c r="CM84" s="76"/>
      <c r="CN84" s="76"/>
      <c r="CO84" s="76"/>
      <c r="CP84" s="76"/>
      <c r="CQ84" s="76"/>
      <c r="CR84" s="76"/>
      <c r="CS84" s="76"/>
      <c r="CT84" s="76"/>
      <c r="CU84" s="76"/>
      <c r="CV84" s="76"/>
      <c r="CW84" s="76"/>
      <c r="CX84" s="76"/>
      <c r="CY84" s="76"/>
      <c r="CZ84" s="76"/>
      <c r="DA84" s="76"/>
      <c r="DB84" s="76"/>
      <c r="DC84" s="76"/>
      <c r="DD84" s="76"/>
      <c r="DE84" s="76"/>
      <c r="DF84" s="76"/>
      <c r="DG84" s="76"/>
      <c r="DH84" s="76"/>
      <c r="DI84" s="76"/>
      <c r="DJ84" s="76"/>
      <c r="DK84" s="76"/>
      <c r="DL84" s="76"/>
      <c r="DM84" s="76"/>
      <c r="DN84" s="76"/>
      <c r="DO84" s="76"/>
      <c r="DP84" s="76"/>
      <c r="DQ84" s="76"/>
      <c r="DR84" s="76"/>
      <c r="DS84" s="76"/>
      <c r="DT84" s="76"/>
      <c r="DU84" s="76"/>
      <c r="DV84" s="76"/>
      <c r="DW84" s="76"/>
      <c r="DX84" s="76"/>
      <c r="DY84" s="76"/>
      <c r="DZ84" s="76"/>
      <c r="EA84" s="76"/>
      <c r="EB84" s="76"/>
      <c r="EC84" s="76"/>
      <c r="ED84" s="76"/>
      <c r="EE84" s="76"/>
      <c r="EF84" s="76"/>
      <c r="EG84" s="76"/>
      <c r="EH84" s="76"/>
      <c r="EI84" s="76"/>
      <c r="EJ84" s="76"/>
      <c r="EK84" s="76"/>
      <c r="EL84" s="76"/>
      <c r="EM84" s="76"/>
      <c r="EN84" s="76"/>
      <c r="EO84" s="76"/>
      <c r="EP84" s="76"/>
      <c r="EQ84" s="76"/>
      <c r="ER84" s="76"/>
      <c r="ES84" s="76"/>
      <c r="ET84" s="76"/>
      <c r="EU84" s="76"/>
      <c r="EV84" s="76"/>
      <c r="EW84" s="76"/>
      <c r="EX84" s="76"/>
      <c r="EY84" s="76"/>
      <c r="EZ84" s="76"/>
      <c r="FA84" s="76"/>
      <c r="FB84" s="76"/>
      <c r="FC84" s="76"/>
      <c r="FD84" s="76"/>
      <c r="FE84" s="76"/>
      <c r="FF84" s="76"/>
      <c r="FG84" s="76"/>
      <c r="FH84" s="76"/>
      <c r="FI84" s="76"/>
      <c r="FJ84" s="76"/>
      <c r="FK84" s="76"/>
      <c r="FL84" s="76"/>
      <c r="FM84" s="76"/>
      <c r="FN84" s="76"/>
      <c r="FO84" s="76"/>
      <c r="FP84" s="76"/>
      <c r="FQ84" s="76"/>
      <c r="FR84" s="76"/>
      <c r="FS84" s="76"/>
      <c r="FT84" s="76"/>
      <c r="FU84" s="76"/>
      <c r="FV84" s="76"/>
      <c r="FW84" s="76"/>
      <c r="FX84" s="76"/>
      <c r="FY84" s="76"/>
      <c r="FZ84" s="76"/>
      <c r="GA84" s="76"/>
      <c r="GB84" s="76"/>
      <c r="GC84" s="76"/>
      <c r="GD84" s="76"/>
      <c r="GE84" s="76"/>
      <c r="GF84" s="76"/>
      <c r="GG84" s="76"/>
      <c r="GH84" s="76"/>
      <c r="GI84" s="76"/>
      <c r="GJ84" s="76"/>
      <c r="GK84" s="76"/>
      <c r="GL84" s="76"/>
      <c r="GM84" s="76"/>
      <c r="GN84" s="76"/>
      <c r="GO84" s="76"/>
      <c r="GP84" s="76"/>
      <c r="GQ84" s="76"/>
      <c r="GR84" s="76"/>
      <c r="GS84" s="76"/>
      <c r="GT84" s="76"/>
      <c r="GU84" s="76"/>
      <c r="GV84" s="76"/>
      <c r="GW84" s="76"/>
      <c r="GX84" s="76"/>
      <c r="GY84" s="76"/>
      <c r="GZ84" s="76"/>
      <c r="HA84" s="76"/>
      <c r="HB84" s="76"/>
      <c r="HC84" s="76"/>
      <c r="HD84" s="76"/>
      <c r="HE84" s="76"/>
      <c r="HF84" s="76"/>
      <c r="HG84" s="76"/>
      <c r="HH84" s="76"/>
      <c r="HI84" s="76"/>
      <c r="HJ84" s="76"/>
      <c r="HK84" s="76"/>
      <c r="HL84" s="76"/>
      <c r="HM84" s="76"/>
      <c r="HN84" s="76"/>
      <c r="HO84" s="76"/>
      <c r="HP84" s="76"/>
      <c r="HQ84" s="76"/>
      <c r="HR84" s="76"/>
      <c r="HS84" s="76"/>
      <c r="HT84" s="76"/>
      <c r="HU84" s="76"/>
      <c r="HV84" s="76"/>
      <c r="HW84" s="76"/>
      <c r="HX84" s="76"/>
      <c r="HY84" s="76"/>
      <c r="HZ84" s="76"/>
      <c r="IA84" s="76"/>
      <c r="IB84" s="76"/>
      <c r="IC84" s="76"/>
      <c r="ID84" s="76"/>
      <c r="IE84" s="76"/>
      <c r="IF84" s="76"/>
      <c r="IG84" s="76"/>
      <c r="IH84" s="76"/>
      <c r="II84" s="76"/>
      <c r="IJ84" s="76"/>
      <c r="IK84" s="76"/>
      <c r="IL84" s="76"/>
      <c r="IM84" s="76"/>
      <c r="IN84" s="76"/>
      <c r="IO84" s="76"/>
      <c r="IP84" s="76"/>
      <c r="IQ84" s="76"/>
      <c r="IR84" s="76"/>
      <c r="IS84" s="76"/>
      <c r="IT84" s="76"/>
      <c r="IU84" s="76"/>
      <c r="IV84" s="76"/>
      <c r="IW84" s="76"/>
      <c r="IX84" s="76"/>
      <c r="IY84" s="76"/>
      <c r="IZ84" s="76"/>
      <c r="JA84" s="76"/>
      <c r="JB84" s="76"/>
      <c r="JG84" s="89"/>
    </row>
    <row r="85" spans="1:267" s="19" customFormat="1" ht="11.4" x14ac:dyDescent="0.25">
      <c r="A85" s="76"/>
      <c r="B85" s="76"/>
      <c r="C85" s="77"/>
      <c r="D85" s="78"/>
      <c r="E85" s="79"/>
      <c r="F85" s="80"/>
      <c r="G85" s="80"/>
      <c r="H85" s="81"/>
      <c r="I85" s="82"/>
      <c r="J85" s="83"/>
      <c r="K85" s="76"/>
      <c r="L85" s="76"/>
      <c r="M85" s="76"/>
      <c r="N85" s="76"/>
      <c r="O85" s="76"/>
      <c r="P85" s="76"/>
      <c r="Q85" s="76"/>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76"/>
      <c r="AS85" s="76"/>
      <c r="AT85" s="76"/>
      <c r="AU85" s="76"/>
      <c r="AV85" s="76"/>
      <c r="AW85" s="76"/>
      <c r="AX85" s="76"/>
      <c r="AY85" s="76"/>
      <c r="AZ85" s="76"/>
      <c r="BA85" s="76"/>
      <c r="BB85" s="76"/>
      <c r="BC85" s="76"/>
      <c r="BD85" s="76"/>
      <c r="BE85" s="76"/>
      <c r="BF85" s="76"/>
      <c r="BG85" s="76"/>
      <c r="BH85" s="76"/>
      <c r="BI85" s="76"/>
      <c r="BJ85" s="76"/>
      <c r="BK85" s="76"/>
      <c r="BL85" s="76"/>
      <c r="BM85" s="76"/>
      <c r="BN85" s="76"/>
      <c r="BO85" s="76"/>
      <c r="BP85" s="76"/>
      <c r="BQ85" s="76"/>
      <c r="BR85" s="76"/>
      <c r="BS85" s="76"/>
      <c r="BT85" s="76"/>
      <c r="BU85" s="76"/>
      <c r="BV85" s="76"/>
      <c r="BW85" s="76"/>
      <c r="BX85" s="76"/>
      <c r="BY85" s="76"/>
      <c r="BZ85" s="76"/>
      <c r="CA85" s="76"/>
      <c r="CB85" s="76"/>
      <c r="CC85" s="76"/>
      <c r="CD85" s="76"/>
      <c r="CE85" s="76"/>
      <c r="CF85" s="76"/>
      <c r="CG85" s="76"/>
      <c r="CH85" s="76"/>
      <c r="CI85" s="76"/>
      <c r="CJ85" s="76"/>
      <c r="CK85" s="76"/>
      <c r="CL85" s="76"/>
      <c r="CM85" s="76"/>
      <c r="CN85" s="76"/>
      <c r="CO85" s="76"/>
      <c r="CP85" s="76"/>
      <c r="CQ85" s="76"/>
      <c r="CR85" s="76"/>
      <c r="CS85" s="76"/>
      <c r="CT85" s="76"/>
      <c r="CU85" s="76"/>
      <c r="CV85" s="76"/>
      <c r="CW85" s="76"/>
      <c r="CX85" s="76"/>
      <c r="CY85" s="76"/>
      <c r="CZ85" s="76"/>
      <c r="DA85" s="76"/>
      <c r="DB85" s="76"/>
      <c r="DC85" s="76"/>
      <c r="DD85" s="76"/>
      <c r="DE85" s="76"/>
      <c r="DF85" s="76"/>
      <c r="DG85" s="76"/>
      <c r="DH85" s="76"/>
      <c r="DI85" s="76"/>
      <c r="DJ85" s="76"/>
      <c r="DK85" s="76"/>
      <c r="DL85" s="76"/>
      <c r="DM85" s="76"/>
      <c r="DN85" s="76"/>
      <c r="DO85" s="76"/>
      <c r="DP85" s="76"/>
      <c r="DQ85" s="76"/>
      <c r="DR85" s="76"/>
      <c r="DS85" s="76"/>
      <c r="DT85" s="76"/>
      <c r="DU85" s="76"/>
      <c r="DV85" s="76"/>
      <c r="DW85" s="76"/>
      <c r="DX85" s="76"/>
      <c r="DY85" s="76"/>
      <c r="DZ85" s="76"/>
      <c r="EA85" s="76"/>
      <c r="EB85" s="76"/>
      <c r="EC85" s="76"/>
      <c r="ED85" s="76"/>
      <c r="EE85" s="76"/>
      <c r="EF85" s="76"/>
      <c r="EG85" s="76"/>
      <c r="EH85" s="76"/>
      <c r="EI85" s="76"/>
      <c r="EJ85" s="76"/>
      <c r="EK85" s="76"/>
      <c r="EL85" s="76"/>
      <c r="EM85" s="76"/>
      <c r="EN85" s="76"/>
      <c r="EO85" s="76"/>
      <c r="EP85" s="76"/>
      <c r="EQ85" s="76"/>
      <c r="ER85" s="76"/>
      <c r="ES85" s="76"/>
      <c r="ET85" s="76"/>
      <c r="EU85" s="76"/>
      <c r="EV85" s="76"/>
      <c r="EW85" s="76"/>
      <c r="EX85" s="76"/>
      <c r="EY85" s="76"/>
      <c r="EZ85" s="76"/>
      <c r="FA85" s="76"/>
      <c r="FB85" s="76"/>
      <c r="FC85" s="76"/>
      <c r="FD85" s="76"/>
      <c r="FE85" s="76"/>
      <c r="FF85" s="76"/>
      <c r="FG85" s="76"/>
      <c r="FH85" s="76"/>
      <c r="FI85" s="76"/>
      <c r="FJ85" s="76"/>
      <c r="FK85" s="76"/>
      <c r="FL85" s="76"/>
      <c r="FM85" s="76"/>
      <c r="FN85" s="76"/>
      <c r="FO85" s="76"/>
      <c r="FP85" s="76"/>
      <c r="FQ85" s="76"/>
      <c r="FR85" s="76"/>
      <c r="FS85" s="76"/>
      <c r="FT85" s="76"/>
      <c r="FU85" s="76"/>
      <c r="FV85" s="76"/>
      <c r="FW85" s="76"/>
      <c r="FX85" s="76"/>
      <c r="FY85" s="76"/>
      <c r="FZ85" s="76"/>
      <c r="GA85" s="76"/>
      <c r="GB85" s="76"/>
      <c r="GC85" s="76"/>
      <c r="GD85" s="76"/>
      <c r="GE85" s="76"/>
      <c r="GF85" s="76"/>
      <c r="GG85" s="76"/>
      <c r="GH85" s="76"/>
      <c r="GI85" s="76"/>
      <c r="GJ85" s="76"/>
      <c r="GK85" s="76"/>
      <c r="GL85" s="76"/>
      <c r="GM85" s="76"/>
      <c r="GN85" s="76"/>
      <c r="GO85" s="76"/>
      <c r="GP85" s="76"/>
      <c r="GQ85" s="76"/>
      <c r="GR85" s="76"/>
      <c r="GS85" s="76"/>
      <c r="GT85" s="76"/>
      <c r="GU85" s="76"/>
      <c r="GV85" s="76"/>
      <c r="GW85" s="76"/>
      <c r="GX85" s="76"/>
      <c r="GY85" s="76"/>
      <c r="GZ85" s="76"/>
      <c r="HA85" s="76"/>
      <c r="HB85" s="76"/>
      <c r="HC85" s="76"/>
      <c r="HD85" s="76"/>
      <c r="HE85" s="76"/>
      <c r="HF85" s="76"/>
      <c r="HG85" s="76"/>
      <c r="HH85" s="76"/>
      <c r="HI85" s="76"/>
      <c r="HJ85" s="76"/>
      <c r="HK85" s="76"/>
      <c r="HL85" s="76"/>
      <c r="HM85" s="76"/>
      <c r="HN85" s="76"/>
      <c r="HO85" s="76"/>
      <c r="HP85" s="76"/>
      <c r="HQ85" s="76"/>
      <c r="HR85" s="76"/>
      <c r="HS85" s="76"/>
      <c r="HT85" s="76"/>
      <c r="HU85" s="76"/>
      <c r="HV85" s="76"/>
      <c r="HW85" s="76"/>
      <c r="HX85" s="76"/>
      <c r="HY85" s="76"/>
      <c r="HZ85" s="76"/>
      <c r="IA85" s="76"/>
      <c r="IB85" s="76"/>
      <c r="IC85" s="76"/>
      <c r="ID85" s="76"/>
      <c r="IE85" s="76"/>
      <c r="IF85" s="76"/>
      <c r="IG85" s="76"/>
      <c r="IH85" s="76"/>
      <c r="II85" s="76"/>
      <c r="IJ85" s="76"/>
      <c r="IK85" s="76"/>
      <c r="IL85" s="76"/>
      <c r="IM85" s="76"/>
      <c r="IN85" s="76"/>
      <c r="IO85" s="76"/>
      <c r="IP85" s="76"/>
      <c r="IQ85" s="76"/>
      <c r="IR85" s="76"/>
      <c r="IS85" s="76"/>
      <c r="IT85" s="76"/>
      <c r="IU85" s="76"/>
      <c r="IV85" s="76"/>
      <c r="IW85" s="76"/>
      <c r="IX85" s="76"/>
      <c r="IY85" s="76"/>
      <c r="IZ85" s="76"/>
      <c r="JA85" s="76"/>
      <c r="JB85" s="76"/>
      <c r="JG85" s="89"/>
    </row>
    <row r="86" spans="1:267" s="19" customFormat="1" ht="11.4" x14ac:dyDescent="0.25">
      <c r="A86" s="76"/>
      <c r="B86" s="76"/>
      <c r="C86" s="77"/>
      <c r="D86" s="78"/>
      <c r="E86" s="79"/>
      <c r="F86" s="80"/>
      <c r="G86" s="80"/>
      <c r="H86" s="81"/>
      <c r="I86" s="82"/>
      <c r="J86" s="83"/>
      <c r="K86" s="76"/>
      <c r="L86" s="76"/>
      <c r="M86" s="76"/>
      <c r="N86" s="76"/>
      <c r="O86" s="76"/>
      <c r="P86" s="76"/>
      <c r="Q86" s="76"/>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M86" s="76"/>
      <c r="CN86" s="76"/>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c r="DM86" s="76"/>
      <c r="DN86" s="76"/>
      <c r="DO86" s="76"/>
      <c r="DP86" s="76"/>
      <c r="DQ86" s="76"/>
      <c r="DR86" s="76"/>
      <c r="DS86" s="76"/>
      <c r="DT86" s="76"/>
      <c r="DU86" s="76"/>
      <c r="DV86" s="76"/>
      <c r="DW86" s="76"/>
      <c r="DX86" s="76"/>
      <c r="DY86" s="76"/>
      <c r="DZ86" s="76"/>
      <c r="EA86" s="76"/>
      <c r="EB86" s="76"/>
      <c r="EC86" s="76"/>
      <c r="ED86" s="76"/>
      <c r="EE86" s="76"/>
      <c r="EF86" s="76"/>
      <c r="EG86" s="76"/>
      <c r="EH86" s="76"/>
      <c r="EI86" s="76"/>
      <c r="EJ86" s="76"/>
      <c r="EK86" s="76"/>
      <c r="EL86" s="76"/>
      <c r="EM86" s="76"/>
      <c r="EN86" s="76"/>
      <c r="EO86" s="76"/>
      <c r="EP86" s="76"/>
      <c r="EQ86" s="76"/>
      <c r="ER86" s="76"/>
      <c r="ES86" s="76"/>
      <c r="ET86" s="76"/>
      <c r="EU86" s="76"/>
      <c r="EV86" s="76"/>
      <c r="EW86" s="76"/>
      <c r="EX86" s="76"/>
      <c r="EY86" s="76"/>
      <c r="EZ86" s="76"/>
      <c r="FA86" s="76"/>
      <c r="FB86" s="76"/>
      <c r="FC86" s="76"/>
      <c r="FD86" s="76"/>
      <c r="FE86" s="76"/>
      <c r="FF86" s="76"/>
      <c r="FG86" s="76"/>
      <c r="FH86" s="76"/>
      <c r="FI86" s="76"/>
      <c r="FJ86" s="76"/>
      <c r="FK86" s="76"/>
      <c r="FL86" s="76"/>
      <c r="FM86" s="76"/>
      <c r="FN86" s="76"/>
      <c r="FO86" s="76"/>
      <c r="FP86" s="76"/>
      <c r="FQ86" s="76"/>
      <c r="FR86" s="76"/>
      <c r="FS86" s="76"/>
      <c r="FT86" s="76"/>
      <c r="FU86" s="76"/>
      <c r="FV86" s="76"/>
      <c r="FW86" s="76"/>
      <c r="FX86" s="76"/>
      <c r="FY86" s="76"/>
      <c r="FZ86" s="76"/>
      <c r="GA86" s="76"/>
      <c r="GB86" s="76"/>
      <c r="GC86" s="76"/>
      <c r="GD86" s="76"/>
      <c r="GE86" s="76"/>
      <c r="GF86" s="76"/>
      <c r="GG86" s="76"/>
      <c r="GH86" s="76"/>
      <c r="GI86" s="76"/>
      <c r="GJ86" s="76"/>
      <c r="GK86" s="76"/>
      <c r="GL86" s="76"/>
      <c r="GM86" s="76"/>
      <c r="GN86" s="76"/>
      <c r="GO86" s="76"/>
      <c r="GP86" s="76"/>
      <c r="GQ86" s="76"/>
      <c r="GR86" s="76"/>
      <c r="GS86" s="76"/>
      <c r="GT86" s="76"/>
      <c r="GU86" s="76"/>
      <c r="GV86" s="76"/>
      <c r="GW86" s="76"/>
      <c r="GX86" s="76"/>
      <c r="GY86" s="76"/>
      <c r="GZ86" s="76"/>
      <c r="HA86" s="76"/>
      <c r="HB86" s="76"/>
      <c r="HC86" s="76"/>
      <c r="HD86" s="76"/>
      <c r="HE86" s="76"/>
      <c r="HF86" s="76"/>
      <c r="HG86" s="76"/>
      <c r="HH86" s="76"/>
      <c r="HI86" s="76"/>
      <c r="HJ86" s="76"/>
      <c r="HK86" s="76"/>
      <c r="HL86" s="76"/>
      <c r="HM86" s="76"/>
      <c r="HN86" s="76"/>
      <c r="HO86" s="76"/>
      <c r="HP86" s="76"/>
      <c r="HQ86" s="76"/>
      <c r="HR86" s="76"/>
      <c r="HS86" s="76"/>
      <c r="HT86" s="76"/>
      <c r="HU86" s="76"/>
      <c r="HV86" s="76"/>
      <c r="HW86" s="76"/>
      <c r="HX86" s="76"/>
      <c r="HY86" s="76"/>
      <c r="HZ86" s="76"/>
      <c r="IA86" s="76"/>
      <c r="IB86" s="76"/>
      <c r="IC86" s="76"/>
      <c r="ID86" s="76"/>
      <c r="IE86" s="76"/>
      <c r="IF86" s="76"/>
      <c r="IG86" s="76"/>
      <c r="IH86" s="76"/>
      <c r="II86" s="76"/>
      <c r="IJ86" s="76"/>
      <c r="IK86" s="76"/>
      <c r="IL86" s="76"/>
      <c r="IM86" s="76"/>
      <c r="IN86" s="76"/>
      <c r="IO86" s="76"/>
      <c r="IP86" s="76"/>
      <c r="IQ86" s="76"/>
      <c r="IR86" s="76"/>
      <c r="IS86" s="76"/>
      <c r="IT86" s="76"/>
      <c r="IU86" s="76"/>
      <c r="IV86" s="76"/>
      <c r="IW86" s="76"/>
      <c r="IX86" s="76"/>
      <c r="IY86" s="76"/>
      <c r="IZ86" s="76"/>
      <c r="JA86" s="76"/>
      <c r="JB86" s="76"/>
      <c r="JG86" s="89"/>
    </row>
    <row r="87" spans="1:267" s="19" customFormat="1" ht="11.4" x14ac:dyDescent="0.25">
      <c r="A87" s="76"/>
      <c r="B87" s="76"/>
      <c r="C87" s="77"/>
      <c r="D87" s="78"/>
      <c r="E87" s="79"/>
      <c r="F87" s="80"/>
      <c r="G87" s="80"/>
      <c r="H87" s="81"/>
      <c r="I87" s="82"/>
      <c r="J87" s="83"/>
      <c r="K87" s="76"/>
      <c r="L87" s="76"/>
      <c r="M87" s="76"/>
      <c r="N87" s="76"/>
      <c r="O87" s="76"/>
      <c r="P87" s="76"/>
      <c r="Q87" s="76"/>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76"/>
      <c r="AS87" s="76"/>
      <c r="AT87" s="76"/>
      <c r="AU87" s="76"/>
      <c r="AV87" s="76"/>
      <c r="AW87" s="76"/>
      <c r="AX87" s="76"/>
      <c r="AY87" s="76"/>
      <c r="AZ87" s="76"/>
      <c r="BA87" s="76"/>
      <c r="BB87" s="76"/>
      <c r="BC87" s="76"/>
      <c r="BD87" s="76"/>
      <c r="BE87" s="76"/>
      <c r="BF87" s="76"/>
      <c r="BG87" s="76"/>
      <c r="BH87" s="76"/>
      <c r="BI87" s="76"/>
      <c r="BJ87" s="76"/>
      <c r="BK87" s="76"/>
      <c r="BL87" s="76"/>
      <c r="BM87" s="76"/>
      <c r="BN87" s="76"/>
      <c r="BO87" s="76"/>
      <c r="BP87" s="76"/>
      <c r="BQ87" s="76"/>
      <c r="BR87" s="76"/>
      <c r="BS87" s="76"/>
      <c r="BT87" s="76"/>
      <c r="BU87" s="76"/>
      <c r="BV87" s="76"/>
      <c r="BW87" s="76"/>
      <c r="BX87" s="76"/>
      <c r="BY87" s="76"/>
      <c r="BZ87" s="76"/>
      <c r="CA87" s="76"/>
      <c r="CB87" s="76"/>
      <c r="CC87" s="76"/>
      <c r="CD87" s="76"/>
      <c r="CE87" s="76"/>
      <c r="CF87" s="76"/>
      <c r="CG87" s="76"/>
      <c r="CH87" s="76"/>
      <c r="CI87" s="76"/>
      <c r="CJ87" s="76"/>
      <c r="CK87" s="76"/>
      <c r="CL87" s="76"/>
      <c r="CM87" s="76"/>
      <c r="CN87" s="76"/>
      <c r="CO87" s="76"/>
      <c r="CP87" s="76"/>
      <c r="CQ87" s="76"/>
      <c r="CR87" s="76"/>
      <c r="CS87" s="76"/>
      <c r="CT87" s="76"/>
      <c r="CU87" s="76"/>
      <c r="CV87" s="76"/>
      <c r="CW87" s="76"/>
      <c r="CX87" s="76"/>
      <c r="CY87" s="76"/>
      <c r="CZ87" s="76"/>
      <c r="DA87" s="76"/>
      <c r="DB87" s="76"/>
      <c r="DC87" s="76"/>
      <c r="DD87" s="76"/>
      <c r="DE87" s="76"/>
      <c r="DF87" s="76"/>
      <c r="DG87" s="76"/>
      <c r="DH87" s="76"/>
      <c r="DI87" s="76"/>
      <c r="DJ87" s="76"/>
      <c r="DK87" s="76"/>
      <c r="DL87" s="76"/>
      <c r="DM87" s="76"/>
      <c r="DN87" s="76"/>
      <c r="DO87" s="76"/>
      <c r="DP87" s="76"/>
      <c r="DQ87" s="76"/>
      <c r="DR87" s="76"/>
      <c r="DS87" s="76"/>
      <c r="DT87" s="76"/>
      <c r="DU87" s="76"/>
      <c r="DV87" s="76"/>
      <c r="DW87" s="76"/>
      <c r="DX87" s="76"/>
      <c r="DY87" s="76"/>
      <c r="DZ87" s="76"/>
      <c r="EA87" s="76"/>
      <c r="EB87" s="76"/>
      <c r="EC87" s="76"/>
      <c r="ED87" s="76"/>
      <c r="EE87" s="76"/>
      <c r="EF87" s="76"/>
      <c r="EG87" s="76"/>
      <c r="EH87" s="76"/>
      <c r="EI87" s="76"/>
      <c r="EJ87" s="76"/>
      <c r="EK87" s="76"/>
      <c r="EL87" s="76"/>
      <c r="EM87" s="76"/>
      <c r="EN87" s="76"/>
      <c r="EO87" s="76"/>
      <c r="EP87" s="76"/>
      <c r="EQ87" s="76"/>
      <c r="ER87" s="76"/>
      <c r="ES87" s="76"/>
      <c r="ET87" s="76"/>
      <c r="EU87" s="76"/>
      <c r="EV87" s="76"/>
      <c r="EW87" s="76"/>
      <c r="EX87" s="76"/>
      <c r="EY87" s="76"/>
      <c r="EZ87" s="76"/>
      <c r="FA87" s="76"/>
      <c r="FB87" s="76"/>
      <c r="FC87" s="76"/>
      <c r="FD87" s="76"/>
      <c r="FE87" s="76"/>
      <c r="FF87" s="76"/>
      <c r="FG87" s="76"/>
      <c r="FH87" s="76"/>
      <c r="FI87" s="76"/>
      <c r="FJ87" s="76"/>
      <c r="FK87" s="76"/>
      <c r="FL87" s="76"/>
      <c r="FM87" s="76"/>
      <c r="FN87" s="76"/>
      <c r="FO87" s="76"/>
      <c r="FP87" s="76"/>
      <c r="FQ87" s="76"/>
      <c r="FR87" s="76"/>
      <c r="FS87" s="76"/>
      <c r="FT87" s="76"/>
      <c r="FU87" s="76"/>
      <c r="FV87" s="76"/>
      <c r="FW87" s="76"/>
      <c r="FX87" s="76"/>
      <c r="FY87" s="76"/>
      <c r="FZ87" s="76"/>
      <c r="GA87" s="76"/>
      <c r="GB87" s="76"/>
      <c r="GC87" s="76"/>
      <c r="GD87" s="76"/>
      <c r="GE87" s="76"/>
      <c r="GF87" s="76"/>
      <c r="GG87" s="76"/>
      <c r="GH87" s="76"/>
      <c r="GI87" s="76"/>
      <c r="GJ87" s="76"/>
      <c r="GK87" s="76"/>
      <c r="GL87" s="76"/>
      <c r="GM87" s="76"/>
      <c r="GN87" s="76"/>
      <c r="GO87" s="76"/>
      <c r="GP87" s="76"/>
      <c r="GQ87" s="76"/>
      <c r="GR87" s="76"/>
      <c r="GS87" s="76"/>
      <c r="GT87" s="76"/>
      <c r="GU87" s="76"/>
      <c r="GV87" s="76"/>
      <c r="GW87" s="76"/>
      <c r="GX87" s="76"/>
      <c r="GY87" s="76"/>
      <c r="GZ87" s="76"/>
      <c r="HA87" s="76"/>
      <c r="HB87" s="76"/>
      <c r="HC87" s="76"/>
      <c r="HD87" s="76"/>
      <c r="HE87" s="76"/>
      <c r="HF87" s="76"/>
      <c r="HG87" s="76"/>
      <c r="HH87" s="76"/>
      <c r="HI87" s="76"/>
      <c r="HJ87" s="76"/>
      <c r="HK87" s="76"/>
      <c r="HL87" s="76"/>
      <c r="HM87" s="76"/>
      <c r="HN87" s="76"/>
      <c r="HO87" s="76"/>
      <c r="HP87" s="76"/>
      <c r="HQ87" s="76"/>
      <c r="HR87" s="76"/>
      <c r="HS87" s="76"/>
      <c r="HT87" s="76"/>
      <c r="HU87" s="76"/>
      <c r="HV87" s="76"/>
      <c r="HW87" s="76"/>
      <c r="HX87" s="76"/>
      <c r="HY87" s="76"/>
      <c r="HZ87" s="76"/>
      <c r="IA87" s="76"/>
      <c r="IB87" s="76"/>
      <c r="IC87" s="76"/>
      <c r="ID87" s="76"/>
      <c r="IE87" s="76"/>
      <c r="IF87" s="76"/>
      <c r="IG87" s="76"/>
      <c r="IH87" s="76"/>
      <c r="II87" s="76"/>
      <c r="IJ87" s="76"/>
      <c r="IK87" s="76"/>
      <c r="IL87" s="76"/>
      <c r="IM87" s="76"/>
      <c r="IN87" s="76"/>
      <c r="IO87" s="76"/>
      <c r="IP87" s="76"/>
      <c r="IQ87" s="76"/>
      <c r="IR87" s="76"/>
      <c r="IS87" s="76"/>
      <c r="IT87" s="76"/>
      <c r="IU87" s="76"/>
      <c r="IV87" s="76"/>
      <c r="IW87" s="76"/>
      <c r="IX87" s="76"/>
      <c r="IY87" s="76"/>
      <c r="IZ87" s="76"/>
      <c r="JA87" s="76"/>
      <c r="JB87" s="76"/>
      <c r="JG87" s="89"/>
    </row>
    <row r="88" spans="1:267" s="19" customFormat="1" ht="11.4" x14ac:dyDescent="0.25">
      <c r="A88" s="76"/>
      <c r="B88" s="76"/>
      <c r="C88" s="77"/>
      <c r="D88" s="78"/>
      <c r="E88" s="79"/>
      <c r="F88" s="80"/>
      <c r="G88" s="80"/>
      <c r="H88" s="81"/>
      <c r="I88" s="82"/>
      <c r="J88" s="83"/>
      <c r="K88" s="76"/>
      <c r="L88" s="76"/>
      <c r="M88" s="76"/>
      <c r="N88" s="76"/>
      <c r="O88" s="76"/>
      <c r="P88" s="76"/>
      <c r="Q88" s="76"/>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76"/>
      <c r="AS88" s="76"/>
      <c r="AT88" s="76"/>
      <c r="AU88" s="76"/>
      <c r="AV88" s="76"/>
      <c r="AW88" s="76"/>
      <c r="AX88" s="76"/>
      <c r="AY88" s="76"/>
      <c r="AZ88" s="76"/>
      <c r="BA88" s="76"/>
      <c r="BB88" s="76"/>
      <c r="BC88" s="76"/>
      <c r="BD88" s="76"/>
      <c r="BE88" s="76"/>
      <c r="BF88" s="76"/>
      <c r="BG88" s="76"/>
      <c r="BH88" s="76"/>
      <c r="BI88" s="76"/>
      <c r="BJ88" s="76"/>
      <c r="BK88" s="76"/>
      <c r="BL88" s="76"/>
      <c r="BM88" s="76"/>
      <c r="BN88" s="76"/>
      <c r="BO88" s="76"/>
      <c r="BP88" s="76"/>
      <c r="BQ88" s="76"/>
      <c r="BR88" s="76"/>
      <c r="BS88" s="76"/>
      <c r="BT88" s="76"/>
      <c r="BU88" s="76"/>
      <c r="BV88" s="76"/>
      <c r="BW88" s="76"/>
      <c r="BX88" s="76"/>
      <c r="BY88" s="76"/>
      <c r="BZ88" s="76"/>
      <c r="CA88" s="76"/>
      <c r="CB88" s="76"/>
      <c r="CC88" s="76"/>
      <c r="CD88" s="76"/>
      <c r="CE88" s="76"/>
      <c r="CF88" s="76"/>
      <c r="CG88" s="76"/>
      <c r="CH88" s="76"/>
      <c r="CI88" s="76"/>
      <c r="CJ88" s="76"/>
      <c r="CK88" s="76"/>
      <c r="CL88" s="76"/>
      <c r="CM88" s="76"/>
      <c r="CN88" s="76"/>
      <c r="CO88" s="76"/>
      <c r="CP88" s="76"/>
      <c r="CQ88" s="76"/>
      <c r="CR88" s="76"/>
      <c r="CS88" s="76"/>
      <c r="CT88" s="76"/>
      <c r="CU88" s="76"/>
      <c r="CV88" s="76"/>
      <c r="CW88" s="76"/>
      <c r="CX88" s="76"/>
      <c r="CY88" s="76"/>
      <c r="CZ88" s="76"/>
      <c r="DA88" s="76"/>
      <c r="DB88" s="76"/>
      <c r="DC88" s="76"/>
      <c r="DD88" s="76"/>
      <c r="DE88" s="76"/>
      <c r="DF88" s="76"/>
      <c r="DG88" s="76"/>
      <c r="DH88" s="76"/>
      <c r="DI88" s="76"/>
      <c r="DJ88" s="76"/>
      <c r="DK88" s="76"/>
      <c r="DL88" s="76"/>
      <c r="DM88" s="76"/>
      <c r="DN88" s="76"/>
      <c r="DO88" s="76"/>
      <c r="DP88" s="76"/>
      <c r="DQ88" s="76"/>
      <c r="DR88" s="76"/>
      <c r="DS88" s="76"/>
      <c r="DT88" s="76"/>
      <c r="DU88" s="76"/>
      <c r="DV88" s="76"/>
      <c r="DW88" s="76"/>
      <c r="DX88" s="76"/>
      <c r="DY88" s="76"/>
      <c r="DZ88" s="76"/>
      <c r="EA88" s="76"/>
      <c r="EB88" s="76"/>
      <c r="EC88" s="76"/>
      <c r="ED88" s="76"/>
      <c r="EE88" s="76"/>
      <c r="EF88" s="76"/>
      <c r="EG88" s="76"/>
      <c r="EH88" s="76"/>
      <c r="EI88" s="76"/>
      <c r="EJ88" s="76"/>
      <c r="EK88" s="76"/>
      <c r="EL88" s="76"/>
      <c r="EM88" s="76"/>
      <c r="EN88" s="76"/>
      <c r="EO88" s="76"/>
      <c r="EP88" s="76"/>
      <c r="EQ88" s="76"/>
      <c r="ER88" s="76"/>
      <c r="ES88" s="76"/>
      <c r="ET88" s="76"/>
      <c r="EU88" s="76"/>
      <c r="EV88" s="76"/>
      <c r="EW88" s="76"/>
      <c r="EX88" s="76"/>
      <c r="EY88" s="76"/>
      <c r="EZ88" s="76"/>
      <c r="FA88" s="76"/>
      <c r="FB88" s="76"/>
      <c r="FC88" s="76"/>
      <c r="FD88" s="76"/>
      <c r="FE88" s="76"/>
      <c r="FF88" s="76"/>
      <c r="FG88" s="76"/>
      <c r="FH88" s="76"/>
      <c r="FI88" s="76"/>
      <c r="FJ88" s="76"/>
      <c r="FK88" s="76"/>
      <c r="FL88" s="76"/>
      <c r="FM88" s="76"/>
      <c r="FN88" s="76"/>
      <c r="FO88" s="76"/>
      <c r="FP88" s="76"/>
      <c r="FQ88" s="76"/>
      <c r="FR88" s="76"/>
      <c r="FS88" s="76"/>
      <c r="FT88" s="76"/>
      <c r="FU88" s="76"/>
      <c r="FV88" s="76"/>
      <c r="FW88" s="76"/>
      <c r="FX88" s="76"/>
      <c r="FY88" s="76"/>
      <c r="FZ88" s="76"/>
      <c r="GA88" s="76"/>
      <c r="GB88" s="76"/>
      <c r="GC88" s="76"/>
      <c r="GD88" s="76"/>
      <c r="GE88" s="76"/>
      <c r="GF88" s="76"/>
      <c r="GG88" s="76"/>
      <c r="GH88" s="76"/>
      <c r="GI88" s="76"/>
      <c r="GJ88" s="76"/>
      <c r="GK88" s="76"/>
      <c r="GL88" s="76"/>
      <c r="GM88" s="76"/>
      <c r="GN88" s="76"/>
      <c r="GO88" s="76"/>
      <c r="GP88" s="76"/>
      <c r="GQ88" s="76"/>
      <c r="GR88" s="76"/>
      <c r="GS88" s="76"/>
      <c r="GT88" s="76"/>
      <c r="GU88" s="76"/>
      <c r="GV88" s="76"/>
      <c r="GW88" s="76"/>
      <c r="GX88" s="76"/>
      <c r="GY88" s="76"/>
      <c r="GZ88" s="76"/>
      <c r="HA88" s="76"/>
      <c r="HB88" s="76"/>
      <c r="HC88" s="76"/>
      <c r="HD88" s="76"/>
      <c r="HE88" s="76"/>
      <c r="HF88" s="76"/>
      <c r="HG88" s="76"/>
      <c r="HH88" s="76"/>
      <c r="HI88" s="76"/>
      <c r="HJ88" s="76"/>
      <c r="HK88" s="76"/>
      <c r="HL88" s="76"/>
      <c r="HM88" s="76"/>
      <c r="HN88" s="76"/>
      <c r="HO88" s="76"/>
      <c r="HP88" s="76"/>
      <c r="HQ88" s="76"/>
      <c r="HR88" s="76"/>
      <c r="HS88" s="76"/>
      <c r="HT88" s="76"/>
      <c r="HU88" s="76"/>
      <c r="HV88" s="76"/>
      <c r="HW88" s="76"/>
      <c r="HX88" s="76"/>
      <c r="HY88" s="76"/>
      <c r="HZ88" s="76"/>
      <c r="IA88" s="76"/>
      <c r="IB88" s="76"/>
      <c r="IC88" s="76"/>
      <c r="ID88" s="76"/>
      <c r="IE88" s="76"/>
      <c r="IF88" s="76"/>
      <c r="IG88" s="76"/>
      <c r="IH88" s="76"/>
      <c r="II88" s="76"/>
      <c r="IJ88" s="76"/>
      <c r="IK88" s="76"/>
      <c r="IL88" s="76"/>
      <c r="IM88" s="76"/>
      <c r="IN88" s="76"/>
      <c r="IO88" s="76"/>
      <c r="IP88" s="76"/>
      <c r="IQ88" s="76"/>
      <c r="IR88" s="76"/>
      <c r="IS88" s="76"/>
      <c r="IT88" s="76"/>
      <c r="IU88" s="76"/>
      <c r="IV88" s="76"/>
      <c r="IW88" s="76"/>
      <c r="IX88" s="76"/>
      <c r="IY88" s="76"/>
      <c r="IZ88" s="76"/>
      <c r="JA88" s="76"/>
      <c r="JB88" s="76"/>
      <c r="JG88" s="89"/>
    </row>
    <row r="89" spans="1:267" s="19" customFormat="1" ht="11.4" x14ac:dyDescent="0.25">
      <c r="A89" s="76"/>
      <c r="B89" s="76"/>
      <c r="C89" s="77"/>
      <c r="D89" s="78"/>
      <c r="E89" s="79"/>
      <c r="F89" s="80"/>
      <c r="G89" s="80"/>
      <c r="H89" s="81"/>
      <c r="I89" s="82"/>
      <c r="J89" s="83"/>
      <c r="K89" s="76"/>
      <c r="L89" s="76"/>
      <c r="M89" s="76"/>
      <c r="N89" s="76"/>
      <c r="O89" s="76"/>
      <c r="P89" s="76"/>
      <c r="Q89" s="76"/>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76"/>
      <c r="AS89" s="76"/>
      <c r="AT89" s="76"/>
      <c r="AU89" s="76"/>
      <c r="AV89" s="76"/>
      <c r="AW89" s="76"/>
      <c r="AX89" s="76"/>
      <c r="AY89" s="76"/>
      <c r="AZ89" s="76"/>
      <c r="BA89" s="76"/>
      <c r="BB89" s="76"/>
      <c r="BC89" s="76"/>
      <c r="BD89" s="76"/>
      <c r="BE89" s="76"/>
      <c r="BF89" s="76"/>
      <c r="BG89" s="76"/>
      <c r="BH89" s="76"/>
      <c r="BI89" s="76"/>
      <c r="BJ89" s="76"/>
      <c r="BK89" s="76"/>
      <c r="BL89" s="76"/>
      <c r="BM89" s="76"/>
      <c r="BN89" s="76"/>
      <c r="BO89" s="76"/>
      <c r="BP89" s="76"/>
      <c r="BQ89" s="76"/>
      <c r="BR89" s="76"/>
      <c r="BS89" s="76"/>
      <c r="BT89" s="76"/>
      <c r="BU89" s="76"/>
      <c r="BV89" s="76"/>
      <c r="BW89" s="76"/>
      <c r="BX89" s="76"/>
      <c r="BY89" s="76"/>
      <c r="BZ89" s="76"/>
      <c r="CA89" s="76"/>
      <c r="CB89" s="76"/>
      <c r="CC89" s="76"/>
      <c r="CD89" s="76"/>
      <c r="CE89" s="76"/>
      <c r="CF89" s="76"/>
      <c r="CG89" s="76"/>
      <c r="CH89" s="76"/>
      <c r="CI89" s="76"/>
      <c r="CJ89" s="76"/>
      <c r="CK89" s="76"/>
      <c r="CL89" s="76"/>
      <c r="CM89" s="76"/>
      <c r="CN89" s="76"/>
      <c r="CO89" s="76"/>
      <c r="CP89" s="76"/>
      <c r="CQ89" s="76"/>
      <c r="CR89" s="76"/>
      <c r="CS89" s="76"/>
      <c r="CT89" s="76"/>
      <c r="CU89" s="76"/>
      <c r="CV89" s="76"/>
      <c r="CW89" s="76"/>
      <c r="CX89" s="76"/>
      <c r="CY89" s="76"/>
      <c r="CZ89" s="76"/>
      <c r="DA89" s="76"/>
      <c r="DB89" s="76"/>
      <c r="DC89" s="76"/>
      <c r="DD89" s="76"/>
      <c r="DE89" s="76"/>
      <c r="DF89" s="76"/>
      <c r="DG89" s="76"/>
      <c r="DH89" s="76"/>
      <c r="DI89" s="76"/>
      <c r="DJ89" s="76"/>
      <c r="DK89" s="76"/>
      <c r="DL89" s="76"/>
      <c r="DM89" s="76"/>
      <c r="DN89" s="76"/>
      <c r="DO89" s="76"/>
      <c r="DP89" s="76"/>
      <c r="DQ89" s="76"/>
      <c r="DR89" s="76"/>
      <c r="DS89" s="76"/>
      <c r="DT89" s="76"/>
      <c r="DU89" s="76"/>
      <c r="DV89" s="76"/>
      <c r="DW89" s="76"/>
      <c r="DX89" s="76"/>
      <c r="DY89" s="76"/>
      <c r="DZ89" s="76"/>
      <c r="EA89" s="76"/>
      <c r="EB89" s="76"/>
      <c r="EC89" s="76"/>
      <c r="ED89" s="76"/>
      <c r="EE89" s="76"/>
      <c r="EF89" s="76"/>
      <c r="EG89" s="76"/>
      <c r="EH89" s="76"/>
      <c r="EI89" s="76"/>
      <c r="EJ89" s="76"/>
      <c r="EK89" s="76"/>
      <c r="EL89" s="76"/>
      <c r="EM89" s="76"/>
      <c r="EN89" s="76"/>
      <c r="EO89" s="76"/>
      <c r="EP89" s="76"/>
      <c r="EQ89" s="76"/>
      <c r="ER89" s="76"/>
      <c r="ES89" s="76"/>
      <c r="ET89" s="76"/>
      <c r="EU89" s="76"/>
      <c r="EV89" s="76"/>
      <c r="EW89" s="76"/>
      <c r="EX89" s="76"/>
      <c r="EY89" s="76"/>
      <c r="EZ89" s="76"/>
      <c r="FA89" s="76"/>
      <c r="FB89" s="76"/>
      <c r="FC89" s="76"/>
      <c r="FD89" s="76"/>
      <c r="FE89" s="76"/>
      <c r="FF89" s="76"/>
      <c r="FG89" s="76"/>
      <c r="FH89" s="76"/>
      <c r="FI89" s="76"/>
      <c r="FJ89" s="76"/>
      <c r="FK89" s="76"/>
      <c r="FL89" s="76"/>
      <c r="FM89" s="76"/>
      <c r="FN89" s="76"/>
      <c r="FO89" s="76"/>
      <c r="FP89" s="76"/>
      <c r="FQ89" s="76"/>
      <c r="FR89" s="76"/>
      <c r="FS89" s="76"/>
      <c r="FT89" s="76"/>
      <c r="FU89" s="76"/>
      <c r="FV89" s="76"/>
      <c r="FW89" s="76"/>
      <c r="FX89" s="76"/>
      <c r="FY89" s="76"/>
      <c r="FZ89" s="76"/>
      <c r="GA89" s="76"/>
      <c r="GB89" s="76"/>
      <c r="GC89" s="76"/>
      <c r="GD89" s="76"/>
      <c r="GE89" s="76"/>
      <c r="GF89" s="76"/>
      <c r="GG89" s="76"/>
      <c r="GH89" s="76"/>
      <c r="GI89" s="76"/>
      <c r="GJ89" s="76"/>
      <c r="GK89" s="76"/>
      <c r="GL89" s="76"/>
      <c r="GM89" s="76"/>
      <c r="GN89" s="76"/>
      <c r="GO89" s="76"/>
      <c r="GP89" s="76"/>
      <c r="GQ89" s="76"/>
      <c r="GR89" s="76"/>
      <c r="GS89" s="76"/>
      <c r="GT89" s="76"/>
      <c r="GU89" s="76"/>
      <c r="GV89" s="76"/>
      <c r="GW89" s="76"/>
      <c r="GX89" s="76"/>
      <c r="GY89" s="76"/>
      <c r="GZ89" s="76"/>
      <c r="HA89" s="76"/>
      <c r="HB89" s="76"/>
      <c r="HC89" s="76"/>
      <c r="HD89" s="76"/>
      <c r="HE89" s="76"/>
      <c r="HF89" s="76"/>
      <c r="HG89" s="76"/>
      <c r="HH89" s="76"/>
      <c r="HI89" s="76"/>
      <c r="HJ89" s="76"/>
      <c r="HK89" s="76"/>
      <c r="HL89" s="76"/>
      <c r="HM89" s="76"/>
      <c r="HN89" s="76"/>
      <c r="HO89" s="76"/>
      <c r="HP89" s="76"/>
      <c r="HQ89" s="76"/>
      <c r="HR89" s="76"/>
      <c r="HS89" s="76"/>
      <c r="HT89" s="76"/>
      <c r="HU89" s="76"/>
      <c r="HV89" s="76"/>
      <c r="HW89" s="76"/>
      <c r="HX89" s="76"/>
      <c r="HY89" s="76"/>
      <c r="HZ89" s="76"/>
      <c r="IA89" s="76"/>
      <c r="IB89" s="76"/>
      <c r="IC89" s="76"/>
      <c r="ID89" s="76"/>
      <c r="IE89" s="76"/>
      <c r="IF89" s="76"/>
      <c r="IG89" s="76"/>
      <c r="IH89" s="76"/>
      <c r="II89" s="76"/>
      <c r="IJ89" s="76"/>
      <c r="IK89" s="76"/>
      <c r="IL89" s="76"/>
      <c r="IM89" s="76"/>
      <c r="IN89" s="76"/>
      <c r="IO89" s="76"/>
      <c r="IP89" s="76"/>
      <c r="IQ89" s="76"/>
      <c r="IR89" s="76"/>
      <c r="IS89" s="76"/>
      <c r="IT89" s="76"/>
      <c r="IU89" s="76"/>
      <c r="IV89" s="76"/>
      <c r="IW89" s="76"/>
      <c r="IX89" s="76"/>
      <c r="IY89" s="76"/>
      <c r="IZ89" s="76"/>
      <c r="JA89" s="76"/>
      <c r="JB89" s="76"/>
      <c r="JG89" s="89"/>
    </row>
    <row r="90" spans="1:267" s="19" customFormat="1" ht="11.4" x14ac:dyDescent="0.25">
      <c r="A90" s="76"/>
      <c r="B90" s="76"/>
      <c r="C90" s="77"/>
      <c r="D90" s="78"/>
      <c r="E90" s="79"/>
      <c r="F90" s="80"/>
      <c r="G90" s="80"/>
      <c r="H90" s="81"/>
      <c r="I90" s="82"/>
      <c r="J90" s="83"/>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76"/>
      <c r="AS90" s="76"/>
      <c r="AT90" s="76"/>
      <c r="AU90" s="76"/>
      <c r="AV90" s="76"/>
      <c r="AW90" s="76"/>
      <c r="AX90" s="76"/>
      <c r="AY90" s="76"/>
      <c r="AZ90" s="76"/>
      <c r="BA90" s="76"/>
      <c r="BB90" s="76"/>
      <c r="BC90" s="76"/>
      <c r="BD90" s="76"/>
      <c r="BE90" s="76"/>
      <c r="BF90" s="76"/>
      <c r="BG90" s="76"/>
      <c r="BH90" s="76"/>
      <c r="BI90" s="76"/>
      <c r="BJ90" s="76"/>
      <c r="BK90" s="76"/>
      <c r="BL90" s="76"/>
      <c r="BM90" s="76"/>
      <c r="BN90" s="76"/>
      <c r="BO90" s="76"/>
      <c r="BP90" s="76"/>
      <c r="BQ90" s="76"/>
      <c r="BR90" s="76"/>
      <c r="BS90" s="76"/>
      <c r="BT90" s="76"/>
      <c r="BU90" s="76"/>
      <c r="BV90" s="76"/>
      <c r="BW90" s="76"/>
      <c r="BX90" s="76"/>
      <c r="BY90" s="76"/>
      <c r="BZ90" s="76"/>
      <c r="CA90" s="76"/>
      <c r="CB90" s="76"/>
      <c r="CC90" s="76"/>
      <c r="CD90" s="76"/>
      <c r="CE90" s="76"/>
      <c r="CF90" s="76"/>
      <c r="CG90" s="76"/>
      <c r="CH90" s="76"/>
      <c r="CI90" s="76"/>
      <c r="CJ90" s="76"/>
      <c r="CK90" s="76"/>
      <c r="CL90" s="76"/>
      <c r="CM90" s="76"/>
      <c r="CN90" s="76"/>
      <c r="CO90" s="76"/>
      <c r="CP90" s="76"/>
      <c r="CQ90" s="76"/>
      <c r="CR90" s="76"/>
      <c r="CS90" s="76"/>
      <c r="CT90" s="76"/>
      <c r="CU90" s="76"/>
      <c r="CV90" s="76"/>
      <c r="CW90" s="76"/>
      <c r="CX90" s="76"/>
      <c r="CY90" s="76"/>
      <c r="CZ90" s="76"/>
      <c r="DA90" s="76"/>
      <c r="DB90" s="76"/>
      <c r="DC90" s="76"/>
      <c r="DD90" s="76"/>
      <c r="DE90" s="76"/>
      <c r="DF90" s="76"/>
      <c r="DG90" s="76"/>
      <c r="DH90" s="76"/>
      <c r="DI90" s="76"/>
      <c r="DJ90" s="76"/>
      <c r="DK90" s="76"/>
      <c r="DL90" s="76"/>
      <c r="DM90" s="76"/>
      <c r="DN90" s="76"/>
      <c r="DO90" s="76"/>
      <c r="DP90" s="76"/>
      <c r="DQ90" s="76"/>
      <c r="DR90" s="76"/>
      <c r="DS90" s="76"/>
      <c r="DT90" s="76"/>
      <c r="DU90" s="76"/>
      <c r="DV90" s="76"/>
      <c r="DW90" s="76"/>
      <c r="DX90" s="76"/>
      <c r="DY90" s="76"/>
      <c r="DZ90" s="76"/>
      <c r="EA90" s="76"/>
      <c r="EB90" s="76"/>
      <c r="EC90" s="76"/>
      <c r="ED90" s="76"/>
      <c r="EE90" s="76"/>
      <c r="EF90" s="76"/>
      <c r="EG90" s="76"/>
      <c r="EH90" s="76"/>
      <c r="EI90" s="76"/>
      <c r="EJ90" s="76"/>
      <c r="EK90" s="76"/>
      <c r="EL90" s="76"/>
      <c r="EM90" s="76"/>
      <c r="EN90" s="76"/>
      <c r="EO90" s="76"/>
      <c r="EP90" s="76"/>
      <c r="EQ90" s="76"/>
      <c r="ER90" s="76"/>
      <c r="ES90" s="76"/>
      <c r="ET90" s="76"/>
      <c r="EU90" s="76"/>
      <c r="EV90" s="76"/>
      <c r="EW90" s="76"/>
      <c r="EX90" s="76"/>
      <c r="EY90" s="76"/>
      <c r="EZ90" s="76"/>
      <c r="FA90" s="76"/>
      <c r="FB90" s="76"/>
      <c r="FC90" s="76"/>
      <c r="FD90" s="76"/>
      <c r="FE90" s="76"/>
      <c r="FF90" s="76"/>
      <c r="FG90" s="76"/>
      <c r="FH90" s="76"/>
      <c r="FI90" s="76"/>
      <c r="FJ90" s="76"/>
      <c r="FK90" s="76"/>
      <c r="FL90" s="76"/>
      <c r="FM90" s="76"/>
      <c r="FN90" s="76"/>
      <c r="FO90" s="76"/>
      <c r="FP90" s="76"/>
      <c r="FQ90" s="76"/>
      <c r="FR90" s="76"/>
      <c r="FS90" s="76"/>
      <c r="FT90" s="76"/>
      <c r="FU90" s="76"/>
      <c r="FV90" s="76"/>
      <c r="FW90" s="76"/>
      <c r="FX90" s="76"/>
      <c r="FY90" s="76"/>
      <c r="FZ90" s="76"/>
      <c r="GA90" s="76"/>
      <c r="GB90" s="76"/>
      <c r="GC90" s="76"/>
      <c r="GD90" s="76"/>
      <c r="GE90" s="76"/>
      <c r="GF90" s="76"/>
      <c r="GG90" s="76"/>
      <c r="GH90" s="76"/>
      <c r="GI90" s="76"/>
      <c r="GJ90" s="76"/>
      <c r="GK90" s="76"/>
      <c r="GL90" s="76"/>
      <c r="GM90" s="76"/>
      <c r="GN90" s="76"/>
      <c r="GO90" s="76"/>
      <c r="GP90" s="76"/>
      <c r="GQ90" s="76"/>
      <c r="GR90" s="76"/>
      <c r="GS90" s="76"/>
      <c r="GT90" s="76"/>
      <c r="GU90" s="76"/>
      <c r="GV90" s="76"/>
      <c r="GW90" s="76"/>
      <c r="GX90" s="76"/>
      <c r="GY90" s="76"/>
      <c r="GZ90" s="76"/>
      <c r="HA90" s="76"/>
      <c r="HB90" s="76"/>
      <c r="HC90" s="76"/>
      <c r="HD90" s="76"/>
      <c r="HE90" s="76"/>
      <c r="HF90" s="76"/>
      <c r="HG90" s="76"/>
      <c r="HH90" s="76"/>
      <c r="HI90" s="76"/>
      <c r="HJ90" s="76"/>
      <c r="HK90" s="76"/>
      <c r="HL90" s="76"/>
      <c r="HM90" s="76"/>
      <c r="HN90" s="76"/>
      <c r="HO90" s="76"/>
      <c r="HP90" s="76"/>
      <c r="HQ90" s="76"/>
      <c r="HR90" s="76"/>
      <c r="HS90" s="76"/>
      <c r="HT90" s="76"/>
      <c r="HU90" s="76"/>
      <c r="HV90" s="76"/>
      <c r="HW90" s="76"/>
      <c r="HX90" s="76"/>
      <c r="HY90" s="76"/>
      <c r="HZ90" s="76"/>
      <c r="IA90" s="76"/>
      <c r="IB90" s="76"/>
      <c r="IC90" s="76"/>
      <c r="ID90" s="76"/>
      <c r="IE90" s="76"/>
      <c r="IF90" s="76"/>
      <c r="IG90" s="76"/>
      <c r="IH90" s="76"/>
      <c r="II90" s="76"/>
      <c r="IJ90" s="76"/>
      <c r="IK90" s="76"/>
      <c r="IL90" s="76"/>
      <c r="IM90" s="76"/>
      <c r="IN90" s="76"/>
      <c r="IO90" s="76"/>
      <c r="IP90" s="76"/>
      <c r="IQ90" s="76"/>
      <c r="IR90" s="76"/>
      <c r="IS90" s="76"/>
      <c r="IT90" s="76"/>
      <c r="IU90" s="76"/>
      <c r="IV90" s="76"/>
      <c r="IW90" s="76"/>
      <c r="IX90" s="76"/>
      <c r="IY90" s="76"/>
      <c r="IZ90" s="76"/>
      <c r="JA90" s="76"/>
      <c r="JB90" s="76"/>
      <c r="JG90" s="89"/>
    </row>
    <row r="91" spans="1:267" s="19" customFormat="1" ht="11.4" x14ac:dyDescent="0.25">
      <c r="A91" s="76"/>
      <c r="B91" s="76"/>
      <c r="C91" s="77"/>
      <c r="D91" s="78"/>
      <c r="E91" s="79"/>
      <c r="F91" s="80"/>
      <c r="G91" s="80"/>
      <c r="H91" s="81"/>
      <c r="I91" s="82"/>
      <c r="J91" s="83"/>
      <c r="K91" s="76"/>
      <c r="L91" s="76"/>
      <c r="M91" s="76"/>
      <c r="N91" s="76"/>
      <c r="O91" s="76"/>
      <c r="P91" s="76"/>
      <c r="Q91" s="76"/>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76"/>
      <c r="AS91" s="76"/>
      <c r="AT91" s="76"/>
      <c r="AU91" s="76"/>
      <c r="AV91" s="76"/>
      <c r="AW91" s="76"/>
      <c r="AX91" s="76"/>
      <c r="AY91" s="76"/>
      <c r="AZ91" s="76"/>
      <c r="BA91" s="76"/>
      <c r="BB91" s="76"/>
      <c r="BC91" s="76"/>
      <c r="BD91" s="76"/>
      <c r="BE91" s="76"/>
      <c r="BF91" s="76"/>
      <c r="BG91" s="76"/>
      <c r="BH91" s="76"/>
      <c r="BI91" s="76"/>
      <c r="BJ91" s="76"/>
      <c r="BK91" s="76"/>
      <c r="BL91" s="76"/>
      <c r="BM91" s="76"/>
      <c r="BN91" s="76"/>
      <c r="BO91" s="76"/>
      <c r="BP91" s="76"/>
      <c r="BQ91" s="76"/>
      <c r="BR91" s="76"/>
      <c r="BS91" s="76"/>
      <c r="BT91" s="76"/>
      <c r="BU91" s="76"/>
      <c r="BV91" s="76"/>
      <c r="BW91" s="76"/>
      <c r="BX91" s="76"/>
      <c r="BY91" s="76"/>
      <c r="BZ91" s="76"/>
      <c r="CA91" s="76"/>
      <c r="CB91" s="76"/>
      <c r="CC91" s="76"/>
      <c r="CD91" s="76"/>
      <c r="CE91" s="76"/>
      <c r="CF91" s="76"/>
      <c r="CG91" s="76"/>
      <c r="CH91" s="76"/>
      <c r="CI91" s="76"/>
      <c r="CJ91" s="76"/>
      <c r="CK91" s="76"/>
      <c r="CL91" s="76"/>
      <c r="CM91" s="76"/>
      <c r="CN91" s="76"/>
      <c r="CO91" s="76"/>
      <c r="CP91" s="76"/>
      <c r="CQ91" s="76"/>
      <c r="CR91" s="76"/>
      <c r="CS91" s="76"/>
      <c r="CT91" s="76"/>
      <c r="CU91" s="76"/>
      <c r="CV91" s="76"/>
      <c r="CW91" s="76"/>
      <c r="CX91" s="76"/>
      <c r="CY91" s="76"/>
      <c r="CZ91" s="76"/>
      <c r="DA91" s="76"/>
      <c r="DB91" s="76"/>
      <c r="DC91" s="76"/>
      <c r="DD91" s="76"/>
      <c r="DE91" s="76"/>
      <c r="DF91" s="76"/>
      <c r="DG91" s="76"/>
      <c r="DH91" s="76"/>
      <c r="DI91" s="76"/>
      <c r="DJ91" s="76"/>
      <c r="DK91" s="76"/>
      <c r="DL91" s="76"/>
      <c r="DM91" s="76"/>
      <c r="DN91" s="76"/>
      <c r="DO91" s="76"/>
      <c r="DP91" s="76"/>
      <c r="DQ91" s="76"/>
      <c r="DR91" s="76"/>
      <c r="DS91" s="76"/>
      <c r="DT91" s="76"/>
      <c r="DU91" s="76"/>
      <c r="DV91" s="76"/>
      <c r="DW91" s="76"/>
      <c r="DX91" s="76"/>
      <c r="DY91" s="76"/>
      <c r="DZ91" s="76"/>
      <c r="EA91" s="76"/>
      <c r="EB91" s="76"/>
      <c r="EC91" s="76"/>
      <c r="ED91" s="76"/>
      <c r="EE91" s="76"/>
      <c r="EF91" s="76"/>
      <c r="EG91" s="76"/>
      <c r="EH91" s="76"/>
      <c r="EI91" s="76"/>
      <c r="EJ91" s="76"/>
      <c r="EK91" s="76"/>
      <c r="EL91" s="76"/>
      <c r="EM91" s="76"/>
      <c r="EN91" s="76"/>
      <c r="EO91" s="76"/>
      <c r="EP91" s="76"/>
      <c r="EQ91" s="76"/>
      <c r="ER91" s="76"/>
      <c r="ES91" s="76"/>
      <c r="ET91" s="76"/>
      <c r="EU91" s="76"/>
      <c r="EV91" s="76"/>
      <c r="EW91" s="76"/>
      <c r="EX91" s="76"/>
      <c r="EY91" s="76"/>
      <c r="EZ91" s="76"/>
      <c r="FA91" s="76"/>
      <c r="FB91" s="76"/>
      <c r="FC91" s="76"/>
      <c r="FD91" s="76"/>
      <c r="FE91" s="76"/>
      <c r="FF91" s="76"/>
      <c r="FG91" s="76"/>
      <c r="FH91" s="76"/>
      <c r="FI91" s="76"/>
      <c r="FJ91" s="76"/>
      <c r="FK91" s="76"/>
      <c r="FL91" s="76"/>
      <c r="FM91" s="76"/>
      <c r="FN91" s="76"/>
      <c r="FO91" s="76"/>
      <c r="FP91" s="76"/>
      <c r="FQ91" s="76"/>
      <c r="FR91" s="76"/>
      <c r="FS91" s="76"/>
      <c r="FT91" s="76"/>
      <c r="FU91" s="76"/>
      <c r="FV91" s="76"/>
      <c r="FW91" s="76"/>
      <c r="FX91" s="76"/>
      <c r="FY91" s="76"/>
      <c r="FZ91" s="76"/>
      <c r="GA91" s="76"/>
      <c r="GB91" s="76"/>
      <c r="GC91" s="76"/>
      <c r="GD91" s="76"/>
      <c r="GE91" s="76"/>
      <c r="GF91" s="76"/>
      <c r="GG91" s="76"/>
      <c r="GH91" s="76"/>
      <c r="GI91" s="76"/>
      <c r="GJ91" s="76"/>
      <c r="GK91" s="76"/>
      <c r="GL91" s="76"/>
      <c r="GM91" s="76"/>
      <c r="GN91" s="76"/>
      <c r="GO91" s="76"/>
      <c r="GP91" s="76"/>
      <c r="GQ91" s="76"/>
      <c r="GR91" s="76"/>
      <c r="GS91" s="76"/>
      <c r="GT91" s="76"/>
      <c r="GU91" s="76"/>
      <c r="GV91" s="76"/>
      <c r="GW91" s="76"/>
      <c r="GX91" s="76"/>
      <c r="GY91" s="76"/>
      <c r="GZ91" s="76"/>
      <c r="HA91" s="76"/>
      <c r="HB91" s="76"/>
      <c r="HC91" s="76"/>
      <c r="HD91" s="76"/>
      <c r="HE91" s="76"/>
      <c r="HF91" s="76"/>
      <c r="HG91" s="76"/>
      <c r="HH91" s="76"/>
      <c r="HI91" s="76"/>
      <c r="HJ91" s="76"/>
      <c r="HK91" s="76"/>
      <c r="HL91" s="76"/>
      <c r="HM91" s="76"/>
      <c r="HN91" s="76"/>
      <c r="HO91" s="76"/>
      <c r="HP91" s="76"/>
      <c r="HQ91" s="76"/>
      <c r="HR91" s="76"/>
      <c r="HS91" s="76"/>
      <c r="HT91" s="76"/>
      <c r="HU91" s="76"/>
      <c r="HV91" s="76"/>
      <c r="HW91" s="76"/>
      <c r="HX91" s="76"/>
      <c r="HY91" s="76"/>
      <c r="HZ91" s="76"/>
      <c r="IA91" s="76"/>
      <c r="IB91" s="76"/>
      <c r="IC91" s="76"/>
      <c r="ID91" s="76"/>
      <c r="IE91" s="76"/>
      <c r="IF91" s="76"/>
      <c r="IG91" s="76"/>
      <c r="IH91" s="76"/>
      <c r="II91" s="76"/>
      <c r="IJ91" s="76"/>
      <c r="IK91" s="76"/>
      <c r="IL91" s="76"/>
      <c r="IM91" s="76"/>
      <c r="IN91" s="76"/>
      <c r="IO91" s="76"/>
      <c r="IP91" s="76"/>
      <c r="IQ91" s="76"/>
      <c r="IR91" s="76"/>
      <c r="IS91" s="76"/>
      <c r="IT91" s="76"/>
      <c r="IU91" s="76"/>
      <c r="IV91" s="76"/>
      <c r="IW91" s="76"/>
      <c r="IX91" s="76"/>
      <c r="IY91" s="76"/>
      <c r="IZ91" s="76"/>
      <c r="JA91" s="76"/>
      <c r="JB91" s="76"/>
      <c r="JG91" s="89"/>
    </row>
    <row r="92" spans="1:267" s="19" customFormat="1" ht="11.4" x14ac:dyDescent="0.25">
      <c r="A92" s="76"/>
      <c r="B92" s="76"/>
      <c r="C92" s="77"/>
      <c r="D92" s="78"/>
      <c r="E92" s="79"/>
      <c r="F92" s="80"/>
      <c r="G92" s="80"/>
      <c r="H92" s="81"/>
      <c r="I92" s="82"/>
      <c r="J92" s="83"/>
      <c r="K92" s="76"/>
      <c r="L92" s="76"/>
      <c r="M92" s="76"/>
      <c r="N92" s="76"/>
      <c r="O92" s="76"/>
      <c r="P92" s="76"/>
      <c r="Q92" s="76"/>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76"/>
      <c r="AS92" s="76"/>
      <c r="AT92" s="76"/>
      <c r="AU92" s="76"/>
      <c r="AV92" s="76"/>
      <c r="AW92" s="76"/>
      <c r="AX92" s="76"/>
      <c r="AY92" s="76"/>
      <c r="AZ92" s="76"/>
      <c r="BA92" s="76"/>
      <c r="BB92" s="76"/>
      <c r="BC92" s="76"/>
      <c r="BD92" s="76"/>
      <c r="BE92" s="76"/>
      <c r="BF92" s="76"/>
      <c r="BG92" s="76"/>
      <c r="BH92" s="76"/>
      <c r="BI92" s="76"/>
      <c r="BJ92" s="76"/>
      <c r="BK92" s="76"/>
      <c r="BL92" s="76"/>
      <c r="BM92" s="76"/>
      <c r="BN92" s="76"/>
      <c r="BO92" s="76"/>
      <c r="BP92" s="76"/>
      <c r="BQ92" s="76"/>
      <c r="BR92" s="76"/>
      <c r="BS92" s="76"/>
      <c r="BT92" s="76"/>
      <c r="BU92" s="76"/>
      <c r="BV92" s="76"/>
      <c r="BW92" s="76"/>
      <c r="BX92" s="76"/>
      <c r="BY92" s="76"/>
      <c r="BZ92" s="76"/>
      <c r="CA92" s="76"/>
      <c r="CB92" s="76"/>
      <c r="CC92" s="76"/>
      <c r="CD92" s="76"/>
      <c r="CE92" s="76"/>
      <c r="CF92" s="76"/>
      <c r="CG92" s="76"/>
      <c r="CH92" s="76"/>
      <c r="CI92" s="76"/>
      <c r="CJ92" s="76"/>
      <c r="CK92" s="76"/>
      <c r="CL92" s="76"/>
      <c r="CM92" s="76"/>
      <c r="CN92" s="76"/>
      <c r="CO92" s="76"/>
      <c r="CP92" s="76"/>
      <c r="CQ92" s="76"/>
      <c r="CR92" s="76"/>
      <c r="CS92" s="76"/>
      <c r="CT92" s="76"/>
      <c r="CU92" s="76"/>
      <c r="CV92" s="76"/>
      <c r="CW92" s="76"/>
      <c r="CX92" s="76"/>
      <c r="CY92" s="76"/>
      <c r="CZ92" s="76"/>
      <c r="DA92" s="76"/>
      <c r="DB92" s="76"/>
      <c r="DC92" s="76"/>
      <c r="DD92" s="76"/>
      <c r="DE92" s="76"/>
      <c r="DF92" s="76"/>
      <c r="DG92" s="76"/>
      <c r="DH92" s="76"/>
      <c r="DI92" s="76"/>
      <c r="DJ92" s="76"/>
      <c r="DK92" s="76"/>
      <c r="DL92" s="76"/>
      <c r="DM92" s="76"/>
      <c r="DN92" s="76"/>
      <c r="DO92" s="76"/>
      <c r="DP92" s="76"/>
      <c r="DQ92" s="76"/>
      <c r="DR92" s="76"/>
      <c r="DS92" s="76"/>
      <c r="DT92" s="76"/>
      <c r="DU92" s="76"/>
      <c r="DV92" s="76"/>
      <c r="DW92" s="76"/>
      <c r="DX92" s="76"/>
      <c r="DY92" s="76"/>
      <c r="DZ92" s="76"/>
      <c r="EA92" s="76"/>
      <c r="EB92" s="76"/>
      <c r="EC92" s="76"/>
      <c r="ED92" s="76"/>
      <c r="EE92" s="76"/>
      <c r="EF92" s="76"/>
      <c r="EG92" s="76"/>
      <c r="EH92" s="76"/>
      <c r="EI92" s="76"/>
      <c r="EJ92" s="76"/>
      <c r="EK92" s="76"/>
      <c r="EL92" s="76"/>
      <c r="EM92" s="76"/>
      <c r="EN92" s="76"/>
      <c r="EO92" s="76"/>
      <c r="EP92" s="76"/>
      <c r="EQ92" s="76"/>
      <c r="ER92" s="76"/>
      <c r="ES92" s="76"/>
      <c r="ET92" s="76"/>
      <c r="EU92" s="76"/>
      <c r="EV92" s="76"/>
      <c r="EW92" s="76"/>
      <c r="EX92" s="76"/>
      <c r="EY92" s="76"/>
      <c r="EZ92" s="76"/>
      <c r="FA92" s="76"/>
      <c r="FB92" s="76"/>
      <c r="FC92" s="76"/>
      <c r="FD92" s="76"/>
      <c r="FE92" s="76"/>
      <c r="FF92" s="76"/>
      <c r="FG92" s="76"/>
      <c r="FH92" s="76"/>
      <c r="FI92" s="76"/>
      <c r="FJ92" s="76"/>
      <c r="FK92" s="76"/>
      <c r="FL92" s="76"/>
      <c r="FM92" s="76"/>
      <c r="FN92" s="76"/>
      <c r="FO92" s="76"/>
      <c r="FP92" s="76"/>
      <c r="FQ92" s="76"/>
      <c r="FR92" s="76"/>
      <c r="FS92" s="76"/>
      <c r="FT92" s="76"/>
      <c r="FU92" s="76"/>
      <c r="FV92" s="76"/>
      <c r="FW92" s="76"/>
      <c r="FX92" s="76"/>
      <c r="FY92" s="76"/>
      <c r="FZ92" s="76"/>
      <c r="GA92" s="76"/>
      <c r="GB92" s="76"/>
      <c r="GC92" s="76"/>
      <c r="GD92" s="76"/>
      <c r="GE92" s="76"/>
      <c r="GF92" s="76"/>
      <c r="GG92" s="76"/>
      <c r="GH92" s="76"/>
      <c r="GI92" s="76"/>
      <c r="GJ92" s="76"/>
      <c r="GK92" s="76"/>
      <c r="GL92" s="76"/>
      <c r="GM92" s="76"/>
      <c r="GN92" s="76"/>
      <c r="GO92" s="76"/>
      <c r="GP92" s="76"/>
      <c r="GQ92" s="76"/>
      <c r="GR92" s="76"/>
      <c r="GS92" s="76"/>
      <c r="GT92" s="76"/>
      <c r="GU92" s="76"/>
      <c r="GV92" s="76"/>
      <c r="GW92" s="76"/>
      <c r="GX92" s="76"/>
      <c r="GY92" s="76"/>
      <c r="GZ92" s="76"/>
      <c r="HA92" s="76"/>
      <c r="HB92" s="76"/>
      <c r="HC92" s="76"/>
      <c r="HD92" s="76"/>
      <c r="HE92" s="76"/>
      <c r="HF92" s="76"/>
      <c r="HG92" s="76"/>
      <c r="HH92" s="76"/>
      <c r="HI92" s="76"/>
      <c r="HJ92" s="76"/>
      <c r="HK92" s="76"/>
      <c r="HL92" s="76"/>
      <c r="HM92" s="76"/>
      <c r="HN92" s="76"/>
      <c r="HO92" s="76"/>
      <c r="HP92" s="76"/>
      <c r="HQ92" s="76"/>
      <c r="HR92" s="76"/>
      <c r="HS92" s="76"/>
      <c r="HT92" s="76"/>
      <c r="HU92" s="76"/>
      <c r="HV92" s="76"/>
      <c r="HW92" s="76"/>
      <c r="HX92" s="76"/>
      <c r="HY92" s="76"/>
      <c r="HZ92" s="76"/>
      <c r="IA92" s="76"/>
      <c r="IB92" s="76"/>
      <c r="IC92" s="76"/>
      <c r="ID92" s="76"/>
      <c r="IE92" s="76"/>
      <c r="IF92" s="76"/>
      <c r="IG92" s="76"/>
      <c r="IH92" s="76"/>
      <c r="II92" s="76"/>
      <c r="IJ92" s="76"/>
      <c r="IK92" s="76"/>
      <c r="IL92" s="76"/>
      <c r="IM92" s="76"/>
      <c r="IN92" s="76"/>
      <c r="IO92" s="76"/>
      <c r="IP92" s="76"/>
      <c r="IQ92" s="76"/>
      <c r="IR92" s="76"/>
      <c r="IS92" s="76"/>
      <c r="IT92" s="76"/>
      <c r="IU92" s="76"/>
      <c r="IV92" s="76"/>
      <c r="IW92" s="76"/>
      <c r="IX92" s="76"/>
      <c r="IY92" s="76"/>
      <c r="IZ92" s="76"/>
      <c r="JA92" s="76"/>
      <c r="JB92" s="76"/>
      <c r="JG92" s="89"/>
    </row>
    <row r="93" spans="1:267" s="19" customFormat="1" ht="11.4" x14ac:dyDescent="0.25">
      <c r="A93" s="76"/>
      <c r="B93" s="76"/>
      <c r="C93" s="77"/>
      <c r="D93" s="78"/>
      <c r="E93" s="79"/>
      <c r="F93" s="80"/>
      <c r="G93" s="80"/>
      <c r="H93" s="81"/>
      <c r="I93" s="82"/>
      <c r="J93" s="83"/>
      <c r="K93" s="76"/>
      <c r="L93" s="76"/>
      <c r="M93" s="76"/>
      <c r="N93" s="76"/>
      <c r="O93" s="76"/>
      <c r="P93" s="76"/>
      <c r="Q93" s="76"/>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76"/>
      <c r="AS93" s="76"/>
      <c r="AT93" s="76"/>
      <c r="AU93" s="76"/>
      <c r="AV93" s="76"/>
      <c r="AW93" s="76"/>
      <c r="AX93" s="76"/>
      <c r="AY93" s="76"/>
      <c r="AZ93" s="76"/>
      <c r="BA93" s="76"/>
      <c r="BB93" s="76"/>
      <c r="BC93" s="76"/>
      <c r="BD93" s="76"/>
      <c r="BE93" s="76"/>
      <c r="BF93" s="76"/>
      <c r="BG93" s="76"/>
      <c r="BH93" s="76"/>
      <c r="BI93" s="76"/>
      <c r="BJ93" s="76"/>
      <c r="BK93" s="76"/>
      <c r="BL93" s="76"/>
      <c r="BM93" s="76"/>
      <c r="BN93" s="76"/>
      <c r="BO93" s="76"/>
      <c r="BP93" s="76"/>
      <c r="BQ93" s="76"/>
      <c r="BR93" s="76"/>
      <c r="BS93" s="76"/>
      <c r="BT93" s="76"/>
      <c r="BU93" s="76"/>
      <c r="BV93" s="76"/>
      <c r="BW93" s="76"/>
      <c r="BX93" s="76"/>
      <c r="BY93" s="76"/>
      <c r="BZ93" s="76"/>
      <c r="CA93" s="76"/>
      <c r="CB93" s="76"/>
      <c r="CC93" s="76"/>
      <c r="CD93" s="76"/>
      <c r="CE93" s="76"/>
      <c r="CF93" s="76"/>
      <c r="CG93" s="76"/>
      <c r="CH93" s="76"/>
      <c r="CI93" s="76"/>
      <c r="CJ93" s="76"/>
      <c r="CK93" s="76"/>
      <c r="CL93" s="76"/>
      <c r="CM93" s="76"/>
      <c r="CN93" s="76"/>
      <c r="CO93" s="76"/>
      <c r="CP93" s="76"/>
      <c r="CQ93" s="76"/>
      <c r="CR93" s="76"/>
      <c r="CS93" s="76"/>
      <c r="CT93" s="76"/>
      <c r="CU93" s="76"/>
      <c r="CV93" s="76"/>
      <c r="CW93" s="76"/>
      <c r="CX93" s="76"/>
      <c r="CY93" s="76"/>
      <c r="CZ93" s="76"/>
      <c r="DA93" s="76"/>
      <c r="DB93" s="76"/>
      <c r="DC93" s="76"/>
      <c r="DD93" s="76"/>
      <c r="DE93" s="76"/>
      <c r="DF93" s="76"/>
      <c r="DG93" s="76"/>
      <c r="DH93" s="76"/>
      <c r="DI93" s="76"/>
      <c r="DJ93" s="76"/>
      <c r="DK93" s="76"/>
      <c r="DL93" s="76"/>
      <c r="DM93" s="76"/>
      <c r="DN93" s="76"/>
      <c r="DO93" s="76"/>
      <c r="DP93" s="76"/>
      <c r="DQ93" s="76"/>
      <c r="DR93" s="76"/>
      <c r="DS93" s="76"/>
      <c r="DT93" s="76"/>
      <c r="DU93" s="76"/>
      <c r="DV93" s="76"/>
      <c r="DW93" s="76"/>
      <c r="DX93" s="76"/>
      <c r="DY93" s="76"/>
      <c r="DZ93" s="76"/>
      <c r="EA93" s="76"/>
      <c r="EB93" s="76"/>
      <c r="EC93" s="76"/>
      <c r="ED93" s="76"/>
      <c r="EE93" s="76"/>
      <c r="EF93" s="76"/>
      <c r="EG93" s="76"/>
      <c r="EH93" s="76"/>
      <c r="EI93" s="76"/>
      <c r="EJ93" s="76"/>
      <c r="EK93" s="76"/>
      <c r="EL93" s="76"/>
      <c r="EM93" s="76"/>
      <c r="EN93" s="76"/>
      <c r="EO93" s="76"/>
      <c r="EP93" s="76"/>
      <c r="EQ93" s="76"/>
      <c r="ER93" s="76"/>
      <c r="ES93" s="76"/>
      <c r="ET93" s="76"/>
      <c r="EU93" s="76"/>
      <c r="EV93" s="76"/>
      <c r="EW93" s="76"/>
      <c r="EX93" s="76"/>
      <c r="EY93" s="76"/>
      <c r="EZ93" s="76"/>
      <c r="FA93" s="76"/>
      <c r="FB93" s="76"/>
      <c r="FC93" s="76"/>
      <c r="FD93" s="76"/>
      <c r="FE93" s="76"/>
      <c r="FF93" s="76"/>
      <c r="FG93" s="76"/>
      <c r="FH93" s="76"/>
      <c r="FI93" s="76"/>
      <c r="FJ93" s="76"/>
      <c r="FK93" s="76"/>
      <c r="FL93" s="76"/>
      <c r="FM93" s="76"/>
      <c r="FN93" s="76"/>
      <c r="FO93" s="76"/>
      <c r="FP93" s="76"/>
      <c r="FQ93" s="76"/>
      <c r="FR93" s="76"/>
      <c r="FS93" s="76"/>
      <c r="FT93" s="76"/>
      <c r="FU93" s="76"/>
      <c r="FV93" s="76"/>
      <c r="FW93" s="76"/>
      <c r="FX93" s="76"/>
      <c r="FY93" s="76"/>
      <c r="FZ93" s="76"/>
      <c r="GA93" s="76"/>
      <c r="GB93" s="76"/>
      <c r="GC93" s="76"/>
      <c r="GD93" s="76"/>
      <c r="GE93" s="76"/>
      <c r="GF93" s="76"/>
      <c r="GG93" s="76"/>
      <c r="GH93" s="76"/>
      <c r="GI93" s="76"/>
      <c r="GJ93" s="76"/>
      <c r="GK93" s="76"/>
      <c r="GL93" s="76"/>
      <c r="GM93" s="76"/>
      <c r="GN93" s="76"/>
      <c r="GO93" s="76"/>
      <c r="GP93" s="76"/>
      <c r="GQ93" s="76"/>
      <c r="GR93" s="76"/>
      <c r="GS93" s="76"/>
      <c r="GT93" s="76"/>
      <c r="GU93" s="76"/>
      <c r="GV93" s="76"/>
      <c r="GW93" s="76"/>
      <c r="GX93" s="76"/>
      <c r="GY93" s="76"/>
      <c r="GZ93" s="76"/>
      <c r="HA93" s="76"/>
      <c r="HB93" s="76"/>
      <c r="HC93" s="76"/>
      <c r="HD93" s="76"/>
      <c r="HE93" s="76"/>
      <c r="HF93" s="76"/>
      <c r="HG93" s="76"/>
      <c r="HH93" s="76"/>
      <c r="HI93" s="76"/>
      <c r="HJ93" s="76"/>
      <c r="HK93" s="76"/>
      <c r="HL93" s="76"/>
      <c r="HM93" s="76"/>
      <c r="HN93" s="76"/>
      <c r="HO93" s="76"/>
      <c r="HP93" s="76"/>
      <c r="HQ93" s="76"/>
      <c r="HR93" s="76"/>
      <c r="HS93" s="76"/>
      <c r="HT93" s="76"/>
      <c r="HU93" s="76"/>
      <c r="HV93" s="76"/>
      <c r="HW93" s="76"/>
      <c r="HX93" s="76"/>
      <c r="HY93" s="76"/>
      <c r="HZ93" s="76"/>
      <c r="IA93" s="76"/>
      <c r="IB93" s="76"/>
      <c r="IC93" s="76"/>
      <c r="ID93" s="76"/>
      <c r="IE93" s="76"/>
      <c r="IF93" s="76"/>
      <c r="IG93" s="76"/>
      <c r="IH93" s="76"/>
      <c r="II93" s="76"/>
      <c r="IJ93" s="76"/>
      <c r="IK93" s="76"/>
      <c r="IL93" s="76"/>
      <c r="IM93" s="76"/>
      <c r="IN93" s="76"/>
      <c r="IO93" s="76"/>
      <c r="IP93" s="76"/>
      <c r="IQ93" s="76"/>
      <c r="IR93" s="76"/>
      <c r="IS93" s="76"/>
      <c r="IT93" s="76"/>
      <c r="IU93" s="76"/>
      <c r="IV93" s="76"/>
      <c r="IW93" s="76"/>
      <c r="IX93" s="76"/>
      <c r="IY93" s="76"/>
      <c r="IZ93" s="76"/>
      <c r="JA93" s="76"/>
      <c r="JB93" s="76"/>
      <c r="JG93" s="89"/>
    </row>
    <row r="94" spans="1:267" s="19" customFormat="1" ht="11.4" x14ac:dyDescent="0.25">
      <c r="A94" s="76"/>
      <c r="B94" s="76"/>
      <c r="C94" s="77"/>
      <c r="D94" s="78"/>
      <c r="E94" s="79"/>
      <c r="F94" s="80"/>
      <c r="G94" s="80"/>
      <c r="H94" s="81"/>
      <c r="I94" s="82"/>
      <c r="J94" s="83"/>
      <c r="K94" s="76"/>
      <c r="L94" s="76"/>
      <c r="M94" s="76"/>
      <c r="N94" s="76"/>
      <c r="O94" s="76"/>
      <c r="P94" s="76"/>
      <c r="Q94" s="76"/>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76"/>
      <c r="AS94" s="76"/>
      <c r="AT94" s="76"/>
      <c r="AU94" s="76"/>
      <c r="AV94" s="76"/>
      <c r="AW94" s="76"/>
      <c r="AX94" s="76"/>
      <c r="AY94" s="76"/>
      <c r="AZ94" s="76"/>
      <c r="BA94" s="76"/>
      <c r="BB94" s="76"/>
      <c r="BC94" s="76"/>
      <c r="BD94" s="76"/>
      <c r="BE94" s="76"/>
      <c r="BF94" s="76"/>
      <c r="BG94" s="76"/>
      <c r="BH94" s="76"/>
      <c r="BI94" s="76"/>
      <c r="BJ94" s="76"/>
      <c r="BK94" s="76"/>
      <c r="BL94" s="76"/>
      <c r="BM94" s="76"/>
      <c r="BN94" s="76"/>
      <c r="BO94" s="76"/>
      <c r="BP94" s="76"/>
      <c r="BQ94" s="76"/>
      <c r="BR94" s="76"/>
      <c r="BS94" s="76"/>
      <c r="BT94" s="76"/>
      <c r="BU94" s="76"/>
      <c r="BV94" s="76"/>
      <c r="BW94" s="76"/>
      <c r="BX94" s="76"/>
      <c r="BY94" s="76"/>
      <c r="BZ94" s="76"/>
      <c r="CA94" s="76"/>
      <c r="CB94" s="76"/>
      <c r="CC94" s="76"/>
      <c r="CD94" s="76"/>
      <c r="CE94" s="76"/>
      <c r="CF94" s="76"/>
      <c r="CG94" s="76"/>
      <c r="CH94" s="76"/>
      <c r="CI94" s="76"/>
      <c r="CJ94" s="76"/>
      <c r="CK94" s="76"/>
      <c r="CL94" s="76"/>
      <c r="CM94" s="76"/>
      <c r="CN94" s="76"/>
      <c r="CO94" s="76"/>
      <c r="CP94" s="76"/>
      <c r="CQ94" s="76"/>
      <c r="CR94" s="76"/>
      <c r="CS94" s="76"/>
      <c r="CT94" s="76"/>
      <c r="CU94" s="76"/>
      <c r="CV94" s="76"/>
      <c r="CW94" s="76"/>
      <c r="CX94" s="76"/>
      <c r="CY94" s="76"/>
      <c r="CZ94" s="76"/>
      <c r="DA94" s="76"/>
      <c r="DB94" s="76"/>
      <c r="DC94" s="76"/>
      <c r="DD94" s="76"/>
      <c r="DE94" s="76"/>
      <c r="DF94" s="76"/>
      <c r="DG94" s="76"/>
      <c r="DH94" s="76"/>
      <c r="DI94" s="76"/>
      <c r="DJ94" s="76"/>
      <c r="DK94" s="76"/>
      <c r="DL94" s="76"/>
      <c r="DM94" s="76"/>
      <c r="DN94" s="76"/>
      <c r="DO94" s="76"/>
      <c r="DP94" s="76"/>
      <c r="DQ94" s="76"/>
      <c r="DR94" s="76"/>
      <c r="DS94" s="76"/>
      <c r="DT94" s="76"/>
      <c r="DU94" s="76"/>
      <c r="DV94" s="76"/>
      <c r="DW94" s="76"/>
      <c r="DX94" s="76"/>
      <c r="DY94" s="76"/>
      <c r="DZ94" s="76"/>
      <c r="EA94" s="76"/>
      <c r="EB94" s="76"/>
      <c r="EC94" s="76"/>
      <c r="ED94" s="76"/>
      <c r="EE94" s="76"/>
      <c r="EF94" s="76"/>
      <c r="EG94" s="76"/>
      <c r="EH94" s="76"/>
      <c r="EI94" s="76"/>
      <c r="EJ94" s="76"/>
      <c r="EK94" s="76"/>
      <c r="EL94" s="76"/>
      <c r="EM94" s="76"/>
      <c r="EN94" s="76"/>
      <c r="EO94" s="76"/>
      <c r="EP94" s="76"/>
      <c r="EQ94" s="76"/>
      <c r="ER94" s="76"/>
      <c r="ES94" s="76"/>
      <c r="ET94" s="76"/>
      <c r="EU94" s="76"/>
      <c r="EV94" s="76"/>
      <c r="EW94" s="76"/>
      <c r="EX94" s="76"/>
      <c r="EY94" s="76"/>
      <c r="EZ94" s="76"/>
      <c r="FA94" s="76"/>
      <c r="FB94" s="76"/>
      <c r="FC94" s="76"/>
      <c r="FD94" s="76"/>
      <c r="FE94" s="76"/>
      <c r="FF94" s="76"/>
      <c r="FG94" s="76"/>
      <c r="FH94" s="76"/>
      <c r="FI94" s="76"/>
      <c r="FJ94" s="76"/>
      <c r="FK94" s="76"/>
      <c r="FL94" s="76"/>
      <c r="FM94" s="76"/>
      <c r="FN94" s="76"/>
      <c r="FO94" s="76"/>
      <c r="FP94" s="76"/>
      <c r="FQ94" s="76"/>
      <c r="FR94" s="76"/>
      <c r="FS94" s="76"/>
      <c r="FT94" s="76"/>
      <c r="FU94" s="76"/>
      <c r="FV94" s="76"/>
      <c r="FW94" s="76"/>
      <c r="FX94" s="76"/>
      <c r="FY94" s="76"/>
      <c r="FZ94" s="76"/>
      <c r="GA94" s="76"/>
      <c r="GB94" s="76"/>
      <c r="GC94" s="76"/>
      <c r="GD94" s="76"/>
      <c r="GE94" s="76"/>
      <c r="GF94" s="76"/>
      <c r="GG94" s="76"/>
      <c r="GH94" s="76"/>
      <c r="GI94" s="76"/>
      <c r="GJ94" s="76"/>
      <c r="GK94" s="76"/>
      <c r="GL94" s="76"/>
      <c r="GM94" s="76"/>
      <c r="GN94" s="76"/>
      <c r="GO94" s="76"/>
      <c r="GP94" s="76"/>
      <c r="GQ94" s="76"/>
      <c r="GR94" s="76"/>
      <c r="GS94" s="76"/>
      <c r="GT94" s="76"/>
      <c r="GU94" s="76"/>
      <c r="GV94" s="76"/>
      <c r="GW94" s="76"/>
      <c r="GX94" s="76"/>
      <c r="GY94" s="76"/>
      <c r="GZ94" s="76"/>
      <c r="HA94" s="76"/>
      <c r="HB94" s="76"/>
      <c r="HC94" s="76"/>
      <c r="HD94" s="76"/>
      <c r="HE94" s="76"/>
      <c r="HF94" s="76"/>
      <c r="HG94" s="76"/>
      <c r="HH94" s="76"/>
      <c r="HI94" s="76"/>
      <c r="HJ94" s="76"/>
      <c r="HK94" s="76"/>
      <c r="HL94" s="76"/>
      <c r="HM94" s="76"/>
      <c r="HN94" s="76"/>
      <c r="HO94" s="76"/>
      <c r="HP94" s="76"/>
      <c r="HQ94" s="76"/>
      <c r="HR94" s="76"/>
      <c r="HS94" s="76"/>
      <c r="HT94" s="76"/>
      <c r="HU94" s="76"/>
      <c r="HV94" s="76"/>
      <c r="HW94" s="76"/>
      <c r="HX94" s="76"/>
      <c r="HY94" s="76"/>
      <c r="HZ94" s="76"/>
      <c r="IA94" s="76"/>
      <c r="IB94" s="76"/>
      <c r="IC94" s="76"/>
      <c r="ID94" s="76"/>
      <c r="IE94" s="76"/>
      <c r="IF94" s="76"/>
      <c r="IG94" s="76"/>
      <c r="IH94" s="76"/>
      <c r="II94" s="76"/>
      <c r="IJ94" s="76"/>
      <c r="IK94" s="76"/>
      <c r="IL94" s="76"/>
      <c r="IM94" s="76"/>
      <c r="IN94" s="76"/>
      <c r="IO94" s="76"/>
      <c r="IP94" s="76"/>
      <c r="IQ94" s="76"/>
      <c r="IR94" s="76"/>
      <c r="IS94" s="76"/>
      <c r="IT94" s="76"/>
      <c r="IU94" s="76"/>
      <c r="IV94" s="76"/>
      <c r="IW94" s="76"/>
      <c r="IX94" s="76"/>
      <c r="IY94" s="76"/>
      <c r="IZ94" s="76"/>
      <c r="JA94" s="76"/>
      <c r="JB94" s="76"/>
      <c r="JG94" s="89"/>
    </row>
    <row r="95" spans="1:267" s="19" customFormat="1" ht="11.4" x14ac:dyDescent="0.25">
      <c r="A95" s="76"/>
      <c r="B95" s="76"/>
      <c r="C95" s="77"/>
      <c r="D95" s="78"/>
      <c r="E95" s="79"/>
      <c r="F95" s="80"/>
      <c r="G95" s="80"/>
      <c r="H95" s="81"/>
      <c r="I95" s="82"/>
      <c r="J95" s="83"/>
      <c r="K95" s="76"/>
      <c r="L95" s="76"/>
      <c r="M95" s="76"/>
      <c r="N95" s="76"/>
      <c r="O95" s="76"/>
      <c r="P95" s="76"/>
      <c r="Q95" s="76"/>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76"/>
      <c r="AS95" s="76"/>
      <c r="AT95" s="76"/>
      <c r="AU95" s="76"/>
      <c r="AV95" s="76"/>
      <c r="AW95" s="76"/>
      <c r="AX95" s="76"/>
      <c r="AY95" s="76"/>
      <c r="AZ95" s="76"/>
      <c r="BA95" s="76"/>
      <c r="BB95" s="76"/>
      <c r="BC95" s="76"/>
      <c r="BD95" s="76"/>
      <c r="BE95" s="76"/>
      <c r="BF95" s="76"/>
      <c r="BG95" s="76"/>
      <c r="BH95" s="76"/>
      <c r="BI95" s="76"/>
      <c r="BJ95" s="76"/>
      <c r="BK95" s="76"/>
      <c r="BL95" s="76"/>
      <c r="BM95" s="76"/>
      <c r="BN95" s="76"/>
      <c r="BO95" s="76"/>
      <c r="BP95" s="76"/>
      <c r="BQ95" s="76"/>
      <c r="BR95" s="76"/>
      <c r="BS95" s="76"/>
      <c r="BT95" s="76"/>
      <c r="BU95" s="76"/>
      <c r="BV95" s="76"/>
      <c r="BW95" s="76"/>
      <c r="BX95" s="76"/>
      <c r="BY95" s="76"/>
      <c r="BZ95" s="76"/>
      <c r="CA95" s="76"/>
      <c r="CB95" s="76"/>
      <c r="CC95" s="76"/>
      <c r="CD95" s="76"/>
      <c r="CE95" s="76"/>
      <c r="CF95" s="76"/>
      <c r="CG95" s="76"/>
      <c r="CH95" s="76"/>
      <c r="CI95" s="76"/>
      <c r="CJ95" s="76"/>
      <c r="CK95" s="76"/>
      <c r="CL95" s="76"/>
      <c r="CM95" s="76"/>
      <c r="CN95" s="76"/>
      <c r="CO95" s="76"/>
      <c r="CP95" s="76"/>
      <c r="CQ95" s="76"/>
      <c r="CR95" s="76"/>
      <c r="CS95" s="76"/>
      <c r="CT95" s="76"/>
      <c r="CU95" s="76"/>
      <c r="CV95" s="76"/>
      <c r="CW95" s="76"/>
      <c r="CX95" s="76"/>
      <c r="CY95" s="76"/>
      <c r="CZ95" s="76"/>
      <c r="DA95" s="76"/>
      <c r="DB95" s="76"/>
      <c r="DC95" s="76"/>
      <c r="DD95" s="76"/>
      <c r="DE95" s="76"/>
      <c r="DF95" s="76"/>
      <c r="DG95" s="76"/>
      <c r="DH95" s="76"/>
      <c r="DI95" s="76"/>
      <c r="DJ95" s="76"/>
      <c r="DK95" s="76"/>
      <c r="DL95" s="76"/>
      <c r="DM95" s="76"/>
      <c r="DN95" s="76"/>
      <c r="DO95" s="76"/>
      <c r="DP95" s="76"/>
      <c r="DQ95" s="76"/>
      <c r="DR95" s="76"/>
      <c r="DS95" s="76"/>
      <c r="DT95" s="76"/>
      <c r="DU95" s="76"/>
      <c r="DV95" s="76"/>
      <c r="DW95" s="76"/>
      <c r="DX95" s="76"/>
      <c r="DY95" s="76"/>
      <c r="DZ95" s="76"/>
      <c r="EA95" s="76"/>
      <c r="EB95" s="76"/>
      <c r="EC95" s="76"/>
      <c r="ED95" s="76"/>
      <c r="EE95" s="76"/>
      <c r="EF95" s="76"/>
      <c r="EG95" s="76"/>
      <c r="EH95" s="76"/>
      <c r="EI95" s="76"/>
      <c r="EJ95" s="76"/>
      <c r="EK95" s="76"/>
      <c r="EL95" s="76"/>
      <c r="EM95" s="76"/>
      <c r="EN95" s="76"/>
      <c r="EO95" s="76"/>
      <c r="EP95" s="76"/>
      <c r="EQ95" s="76"/>
      <c r="ER95" s="76"/>
      <c r="ES95" s="76"/>
      <c r="ET95" s="76"/>
      <c r="EU95" s="76"/>
      <c r="EV95" s="76"/>
      <c r="EW95" s="76"/>
      <c r="EX95" s="76"/>
      <c r="EY95" s="76"/>
      <c r="EZ95" s="76"/>
      <c r="FA95" s="76"/>
      <c r="FB95" s="76"/>
      <c r="FC95" s="76"/>
      <c r="FD95" s="76"/>
      <c r="FE95" s="76"/>
      <c r="FF95" s="76"/>
      <c r="FG95" s="76"/>
      <c r="FH95" s="76"/>
      <c r="FI95" s="76"/>
      <c r="FJ95" s="76"/>
      <c r="FK95" s="76"/>
      <c r="FL95" s="76"/>
      <c r="FM95" s="76"/>
      <c r="FN95" s="76"/>
      <c r="FO95" s="76"/>
      <c r="FP95" s="76"/>
      <c r="FQ95" s="76"/>
      <c r="FR95" s="76"/>
      <c r="FS95" s="76"/>
      <c r="FT95" s="76"/>
      <c r="FU95" s="76"/>
      <c r="FV95" s="76"/>
      <c r="FW95" s="76"/>
      <c r="FX95" s="76"/>
      <c r="FY95" s="76"/>
      <c r="FZ95" s="76"/>
      <c r="GA95" s="76"/>
      <c r="GB95" s="76"/>
      <c r="GC95" s="76"/>
      <c r="GD95" s="76"/>
      <c r="GE95" s="76"/>
      <c r="GF95" s="76"/>
      <c r="GG95" s="76"/>
      <c r="GH95" s="76"/>
      <c r="GI95" s="76"/>
      <c r="GJ95" s="76"/>
      <c r="GK95" s="76"/>
      <c r="GL95" s="76"/>
      <c r="GM95" s="76"/>
      <c r="GN95" s="76"/>
      <c r="GO95" s="76"/>
      <c r="GP95" s="76"/>
      <c r="GQ95" s="76"/>
      <c r="GR95" s="76"/>
      <c r="GS95" s="76"/>
      <c r="GT95" s="76"/>
      <c r="GU95" s="76"/>
      <c r="GV95" s="76"/>
      <c r="GW95" s="76"/>
      <c r="GX95" s="76"/>
      <c r="GY95" s="76"/>
      <c r="GZ95" s="76"/>
      <c r="HA95" s="76"/>
      <c r="HB95" s="76"/>
      <c r="HC95" s="76"/>
      <c r="HD95" s="76"/>
      <c r="HE95" s="76"/>
      <c r="HF95" s="76"/>
      <c r="HG95" s="76"/>
      <c r="HH95" s="76"/>
      <c r="HI95" s="76"/>
      <c r="HJ95" s="76"/>
      <c r="HK95" s="76"/>
      <c r="HL95" s="76"/>
      <c r="HM95" s="76"/>
      <c r="HN95" s="76"/>
      <c r="HO95" s="76"/>
      <c r="HP95" s="76"/>
      <c r="HQ95" s="76"/>
      <c r="HR95" s="76"/>
      <c r="HS95" s="76"/>
      <c r="HT95" s="76"/>
      <c r="HU95" s="76"/>
      <c r="HV95" s="76"/>
      <c r="HW95" s="76"/>
      <c r="HX95" s="76"/>
      <c r="HY95" s="76"/>
      <c r="HZ95" s="76"/>
      <c r="IA95" s="76"/>
      <c r="IB95" s="76"/>
      <c r="IC95" s="76"/>
      <c r="ID95" s="76"/>
      <c r="IE95" s="76"/>
      <c r="IF95" s="76"/>
      <c r="IG95" s="76"/>
      <c r="IH95" s="76"/>
      <c r="II95" s="76"/>
      <c r="IJ95" s="76"/>
      <c r="IK95" s="76"/>
      <c r="IL95" s="76"/>
      <c r="IM95" s="76"/>
      <c r="IN95" s="76"/>
      <c r="IO95" s="76"/>
      <c r="IP95" s="76"/>
      <c r="IQ95" s="76"/>
      <c r="IR95" s="76"/>
      <c r="IS95" s="76"/>
      <c r="IT95" s="76"/>
      <c r="IU95" s="76"/>
      <c r="IV95" s="76"/>
      <c r="IW95" s="76"/>
      <c r="IX95" s="76"/>
      <c r="IY95" s="76"/>
      <c r="IZ95" s="76"/>
      <c r="JA95" s="76"/>
      <c r="JB95" s="76"/>
      <c r="JG95" s="89"/>
    </row>
    <row r="96" spans="1:267" s="19" customFormat="1" ht="11.4" x14ac:dyDescent="0.25">
      <c r="A96" s="76"/>
      <c r="B96" s="76"/>
      <c r="C96" s="77"/>
      <c r="D96" s="78"/>
      <c r="E96" s="79"/>
      <c r="F96" s="80"/>
      <c r="G96" s="80"/>
      <c r="H96" s="81"/>
      <c r="I96" s="82"/>
      <c r="J96" s="83"/>
      <c r="K96" s="76"/>
      <c r="L96" s="76"/>
      <c r="M96" s="76"/>
      <c r="N96" s="76"/>
      <c r="O96" s="76"/>
      <c r="P96" s="76"/>
      <c r="Q96" s="76"/>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76"/>
      <c r="AS96" s="76"/>
      <c r="AT96" s="76"/>
      <c r="AU96" s="76"/>
      <c r="AV96" s="76"/>
      <c r="AW96" s="76"/>
      <c r="AX96" s="76"/>
      <c r="AY96" s="76"/>
      <c r="AZ96" s="76"/>
      <c r="BA96" s="76"/>
      <c r="BB96" s="76"/>
      <c r="BC96" s="76"/>
      <c r="BD96" s="76"/>
      <c r="BE96" s="76"/>
      <c r="BF96" s="76"/>
      <c r="BG96" s="76"/>
      <c r="BH96" s="76"/>
      <c r="BI96" s="76"/>
      <c r="BJ96" s="76"/>
      <c r="BK96" s="76"/>
      <c r="BL96" s="76"/>
      <c r="BM96" s="76"/>
      <c r="BN96" s="76"/>
      <c r="BO96" s="76"/>
      <c r="BP96" s="76"/>
      <c r="BQ96" s="76"/>
      <c r="BR96" s="76"/>
      <c r="BS96" s="76"/>
      <c r="BT96" s="76"/>
      <c r="BU96" s="76"/>
      <c r="BV96" s="76"/>
      <c r="BW96" s="76"/>
      <c r="BX96" s="76"/>
      <c r="BY96" s="76"/>
      <c r="BZ96" s="76"/>
      <c r="CA96" s="76"/>
      <c r="CB96" s="76"/>
      <c r="CC96" s="76"/>
      <c r="CD96" s="76"/>
      <c r="CE96" s="76"/>
      <c r="CF96" s="76"/>
      <c r="CG96" s="76"/>
      <c r="CH96" s="76"/>
      <c r="CI96" s="76"/>
      <c r="CJ96" s="76"/>
      <c r="CK96" s="76"/>
      <c r="CL96" s="76"/>
      <c r="CM96" s="76"/>
      <c r="CN96" s="76"/>
      <c r="CO96" s="76"/>
      <c r="CP96" s="76"/>
      <c r="CQ96" s="76"/>
      <c r="CR96" s="76"/>
      <c r="CS96" s="76"/>
      <c r="CT96" s="76"/>
      <c r="CU96" s="76"/>
      <c r="CV96" s="76"/>
      <c r="CW96" s="76"/>
      <c r="CX96" s="76"/>
      <c r="CY96" s="76"/>
      <c r="CZ96" s="76"/>
      <c r="DA96" s="76"/>
      <c r="DB96" s="76"/>
      <c r="DC96" s="76"/>
      <c r="DD96" s="76"/>
      <c r="DE96" s="76"/>
      <c r="DF96" s="76"/>
      <c r="DG96" s="76"/>
      <c r="DH96" s="76"/>
      <c r="DI96" s="76"/>
      <c r="DJ96" s="76"/>
      <c r="DK96" s="76"/>
      <c r="DL96" s="76"/>
      <c r="DM96" s="76"/>
      <c r="DN96" s="76"/>
      <c r="DO96" s="76"/>
      <c r="DP96" s="76"/>
      <c r="DQ96" s="76"/>
      <c r="DR96" s="76"/>
      <c r="DS96" s="76"/>
      <c r="DT96" s="76"/>
      <c r="DU96" s="76"/>
      <c r="DV96" s="76"/>
      <c r="DW96" s="76"/>
      <c r="DX96" s="76"/>
      <c r="DY96" s="76"/>
      <c r="DZ96" s="76"/>
      <c r="EA96" s="76"/>
      <c r="EB96" s="76"/>
      <c r="EC96" s="76"/>
      <c r="ED96" s="76"/>
      <c r="EE96" s="76"/>
      <c r="EF96" s="76"/>
      <c r="EG96" s="76"/>
      <c r="EH96" s="76"/>
      <c r="EI96" s="76"/>
      <c r="EJ96" s="76"/>
      <c r="EK96" s="76"/>
      <c r="EL96" s="76"/>
      <c r="EM96" s="76"/>
      <c r="EN96" s="76"/>
      <c r="EO96" s="76"/>
      <c r="EP96" s="76"/>
      <c r="EQ96" s="76"/>
      <c r="ER96" s="76"/>
      <c r="ES96" s="76"/>
      <c r="ET96" s="76"/>
      <c r="EU96" s="76"/>
      <c r="EV96" s="76"/>
      <c r="EW96" s="76"/>
      <c r="EX96" s="76"/>
      <c r="EY96" s="76"/>
      <c r="EZ96" s="76"/>
      <c r="FA96" s="76"/>
      <c r="FB96" s="76"/>
      <c r="FC96" s="76"/>
      <c r="FD96" s="76"/>
      <c r="FE96" s="76"/>
      <c r="FF96" s="76"/>
      <c r="FG96" s="76"/>
      <c r="FH96" s="76"/>
      <c r="FI96" s="76"/>
      <c r="FJ96" s="76"/>
      <c r="FK96" s="76"/>
      <c r="FL96" s="76"/>
      <c r="FM96" s="76"/>
      <c r="FN96" s="76"/>
      <c r="FO96" s="76"/>
      <c r="FP96" s="76"/>
      <c r="FQ96" s="76"/>
      <c r="FR96" s="76"/>
      <c r="FS96" s="76"/>
      <c r="FT96" s="76"/>
      <c r="FU96" s="76"/>
      <c r="FV96" s="76"/>
      <c r="FW96" s="76"/>
      <c r="FX96" s="76"/>
      <c r="FY96" s="76"/>
      <c r="FZ96" s="76"/>
      <c r="GA96" s="76"/>
      <c r="GB96" s="76"/>
      <c r="GC96" s="76"/>
      <c r="GD96" s="76"/>
      <c r="GE96" s="76"/>
      <c r="GF96" s="76"/>
      <c r="GG96" s="76"/>
      <c r="GH96" s="76"/>
      <c r="GI96" s="76"/>
      <c r="GJ96" s="76"/>
      <c r="GK96" s="76"/>
      <c r="GL96" s="76"/>
      <c r="GM96" s="76"/>
      <c r="GN96" s="76"/>
      <c r="GO96" s="76"/>
      <c r="GP96" s="76"/>
      <c r="GQ96" s="76"/>
      <c r="GR96" s="76"/>
      <c r="GS96" s="76"/>
      <c r="GT96" s="76"/>
      <c r="GU96" s="76"/>
      <c r="GV96" s="76"/>
      <c r="GW96" s="76"/>
      <c r="GX96" s="76"/>
      <c r="GY96" s="76"/>
      <c r="GZ96" s="76"/>
      <c r="HA96" s="76"/>
      <c r="HB96" s="76"/>
      <c r="HC96" s="76"/>
      <c r="HD96" s="76"/>
      <c r="HE96" s="76"/>
      <c r="HF96" s="76"/>
      <c r="HG96" s="76"/>
      <c r="HH96" s="76"/>
      <c r="HI96" s="76"/>
      <c r="HJ96" s="76"/>
      <c r="HK96" s="76"/>
      <c r="HL96" s="76"/>
      <c r="HM96" s="76"/>
      <c r="HN96" s="76"/>
      <c r="HO96" s="76"/>
      <c r="HP96" s="76"/>
      <c r="HQ96" s="76"/>
      <c r="HR96" s="76"/>
      <c r="HS96" s="76"/>
      <c r="HT96" s="76"/>
      <c r="HU96" s="76"/>
      <c r="HV96" s="76"/>
      <c r="HW96" s="76"/>
      <c r="HX96" s="76"/>
      <c r="HY96" s="76"/>
      <c r="HZ96" s="76"/>
      <c r="IA96" s="76"/>
      <c r="IB96" s="76"/>
      <c r="IC96" s="76"/>
      <c r="ID96" s="76"/>
      <c r="IE96" s="76"/>
      <c r="IF96" s="76"/>
      <c r="IG96" s="76"/>
      <c r="IH96" s="76"/>
      <c r="II96" s="76"/>
      <c r="IJ96" s="76"/>
      <c r="IK96" s="76"/>
      <c r="IL96" s="76"/>
      <c r="IM96" s="76"/>
      <c r="IN96" s="76"/>
      <c r="IO96" s="76"/>
      <c r="IP96" s="76"/>
      <c r="IQ96" s="76"/>
      <c r="IR96" s="76"/>
      <c r="IS96" s="76"/>
      <c r="IT96" s="76"/>
      <c r="IU96" s="76"/>
      <c r="IV96" s="76"/>
      <c r="IW96" s="76"/>
      <c r="IX96" s="76"/>
      <c r="IY96" s="76"/>
      <c r="IZ96" s="76"/>
      <c r="JA96" s="76"/>
      <c r="JB96" s="76"/>
      <c r="JG96" s="89"/>
    </row>
    <row r="97" spans="1:267" s="19" customFormat="1" ht="11.4" x14ac:dyDescent="0.25">
      <c r="A97" s="76"/>
      <c r="B97" s="76"/>
      <c r="C97" s="77"/>
      <c r="D97" s="78"/>
      <c r="E97" s="79"/>
      <c r="F97" s="80"/>
      <c r="G97" s="80"/>
      <c r="H97" s="81"/>
      <c r="I97" s="82"/>
      <c r="J97" s="83"/>
      <c r="K97" s="76"/>
      <c r="L97" s="76"/>
      <c r="M97" s="76"/>
      <c r="N97" s="76"/>
      <c r="O97" s="76"/>
      <c r="P97" s="76"/>
      <c r="Q97" s="76"/>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76"/>
      <c r="AS97" s="76"/>
      <c r="AT97" s="76"/>
      <c r="AU97" s="76"/>
      <c r="AV97" s="76"/>
      <c r="AW97" s="76"/>
      <c r="AX97" s="76"/>
      <c r="AY97" s="76"/>
      <c r="AZ97" s="76"/>
      <c r="BA97" s="76"/>
      <c r="BB97" s="76"/>
      <c r="BC97" s="76"/>
      <c r="BD97" s="76"/>
      <c r="BE97" s="76"/>
      <c r="BF97" s="76"/>
      <c r="BG97" s="76"/>
      <c r="BH97" s="76"/>
      <c r="BI97" s="76"/>
      <c r="BJ97" s="76"/>
      <c r="BK97" s="76"/>
      <c r="BL97" s="76"/>
      <c r="BM97" s="76"/>
      <c r="BN97" s="76"/>
      <c r="BO97" s="76"/>
      <c r="BP97" s="76"/>
      <c r="BQ97" s="76"/>
      <c r="BR97" s="76"/>
      <c r="BS97" s="76"/>
      <c r="BT97" s="76"/>
      <c r="BU97" s="76"/>
      <c r="BV97" s="76"/>
      <c r="BW97" s="76"/>
      <c r="BX97" s="76"/>
      <c r="BY97" s="76"/>
      <c r="BZ97" s="76"/>
      <c r="CA97" s="76"/>
      <c r="CB97" s="76"/>
      <c r="CC97" s="76"/>
      <c r="CD97" s="76"/>
      <c r="CE97" s="76"/>
      <c r="CF97" s="76"/>
      <c r="CG97" s="76"/>
      <c r="CH97" s="76"/>
      <c r="CI97" s="76"/>
      <c r="CJ97" s="76"/>
      <c r="CK97" s="76"/>
      <c r="CL97" s="76"/>
      <c r="CM97" s="76"/>
      <c r="CN97" s="76"/>
      <c r="CO97" s="76"/>
      <c r="CP97" s="76"/>
      <c r="CQ97" s="76"/>
      <c r="CR97" s="76"/>
      <c r="CS97" s="76"/>
      <c r="CT97" s="76"/>
      <c r="CU97" s="76"/>
      <c r="CV97" s="76"/>
      <c r="CW97" s="76"/>
      <c r="CX97" s="76"/>
      <c r="CY97" s="76"/>
      <c r="CZ97" s="76"/>
      <c r="DA97" s="76"/>
      <c r="DB97" s="76"/>
      <c r="DC97" s="76"/>
      <c r="DD97" s="76"/>
      <c r="DE97" s="76"/>
      <c r="DF97" s="76"/>
      <c r="DG97" s="76"/>
      <c r="DH97" s="76"/>
      <c r="DI97" s="76"/>
      <c r="DJ97" s="76"/>
      <c r="DK97" s="76"/>
      <c r="DL97" s="76"/>
      <c r="DM97" s="76"/>
      <c r="DN97" s="76"/>
      <c r="DO97" s="76"/>
      <c r="DP97" s="76"/>
      <c r="DQ97" s="76"/>
      <c r="DR97" s="76"/>
      <c r="DS97" s="76"/>
      <c r="DT97" s="76"/>
      <c r="DU97" s="76"/>
      <c r="DV97" s="76"/>
      <c r="DW97" s="76"/>
      <c r="DX97" s="76"/>
      <c r="DY97" s="76"/>
      <c r="DZ97" s="76"/>
      <c r="EA97" s="76"/>
      <c r="EB97" s="76"/>
      <c r="EC97" s="76"/>
      <c r="ED97" s="76"/>
      <c r="EE97" s="76"/>
      <c r="EF97" s="76"/>
      <c r="EG97" s="76"/>
      <c r="EH97" s="76"/>
      <c r="EI97" s="76"/>
      <c r="EJ97" s="76"/>
      <c r="EK97" s="76"/>
      <c r="EL97" s="76"/>
      <c r="EM97" s="76"/>
      <c r="EN97" s="76"/>
      <c r="EO97" s="76"/>
      <c r="EP97" s="76"/>
      <c r="EQ97" s="76"/>
      <c r="ER97" s="76"/>
      <c r="ES97" s="76"/>
      <c r="ET97" s="76"/>
      <c r="EU97" s="76"/>
      <c r="EV97" s="76"/>
      <c r="EW97" s="76"/>
      <c r="EX97" s="76"/>
      <c r="EY97" s="76"/>
      <c r="EZ97" s="76"/>
      <c r="FA97" s="76"/>
      <c r="FB97" s="76"/>
      <c r="FC97" s="76"/>
      <c r="FD97" s="76"/>
      <c r="FE97" s="76"/>
      <c r="FF97" s="76"/>
      <c r="FG97" s="76"/>
      <c r="FH97" s="76"/>
      <c r="FI97" s="76"/>
      <c r="FJ97" s="76"/>
      <c r="FK97" s="76"/>
      <c r="FL97" s="76"/>
      <c r="FM97" s="76"/>
      <c r="FN97" s="76"/>
      <c r="FO97" s="76"/>
      <c r="FP97" s="76"/>
      <c r="FQ97" s="76"/>
      <c r="FR97" s="76"/>
      <c r="FS97" s="76"/>
      <c r="FT97" s="76"/>
      <c r="FU97" s="76"/>
      <c r="FV97" s="76"/>
      <c r="FW97" s="76"/>
      <c r="FX97" s="76"/>
      <c r="FY97" s="76"/>
      <c r="FZ97" s="76"/>
      <c r="GA97" s="76"/>
      <c r="GB97" s="76"/>
      <c r="GC97" s="76"/>
      <c r="GD97" s="76"/>
      <c r="GE97" s="76"/>
      <c r="GF97" s="76"/>
      <c r="GG97" s="76"/>
      <c r="GH97" s="76"/>
      <c r="GI97" s="76"/>
      <c r="GJ97" s="76"/>
      <c r="GK97" s="76"/>
      <c r="GL97" s="76"/>
      <c r="GM97" s="76"/>
      <c r="GN97" s="76"/>
      <c r="GO97" s="76"/>
      <c r="GP97" s="76"/>
      <c r="GQ97" s="76"/>
      <c r="GR97" s="76"/>
      <c r="GS97" s="76"/>
      <c r="GT97" s="76"/>
      <c r="GU97" s="76"/>
      <c r="GV97" s="76"/>
      <c r="GW97" s="76"/>
      <c r="GX97" s="76"/>
      <c r="GY97" s="76"/>
      <c r="GZ97" s="76"/>
      <c r="HA97" s="76"/>
      <c r="HB97" s="76"/>
      <c r="HC97" s="76"/>
      <c r="HD97" s="76"/>
      <c r="HE97" s="76"/>
      <c r="HF97" s="76"/>
      <c r="HG97" s="76"/>
      <c r="HH97" s="76"/>
      <c r="HI97" s="76"/>
      <c r="HJ97" s="76"/>
      <c r="HK97" s="76"/>
      <c r="HL97" s="76"/>
      <c r="HM97" s="76"/>
      <c r="HN97" s="76"/>
      <c r="HO97" s="76"/>
      <c r="HP97" s="76"/>
      <c r="HQ97" s="76"/>
      <c r="HR97" s="76"/>
      <c r="HS97" s="76"/>
      <c r="HT97" s="76"/>
      <c r="HU97" s="76"/>
      <c r="HV97" s="76"/>
      <c r="HW97" s="76"/>
      <c r="HX97" s="76"/>
      <c r="HY97" s="76"/>
      <c r="HZ97" s="76"/>
      <c r="IA97" s="76"/>
      <c r="IB97" s="76"/>
      <c r="IC97" s="76"/>
      <c r="ID97" s="76"/>
      <c r="IE97" s="76"/>
      <c r="IF97" s="76"/>
      <c r="IG97" s="76"/>
      <c r="IH97" s="76"/>
      <c r="II97" s="76"/>
      <c r="IJ97" s="76"/>
      <c r="IK97" s="76"/>
      <c r="IL97" s="76"/>
      <c r="IM97" s="76"/>
      <c r="IN97" s="76"/>
      <c r="IO97" s="76"/>
      <c r="IP97" s="76"/>
      <c r="IQ97" s="76"/>
      <c r="IR97" s="76"/>
      <c r="IS97" s="76"/>
      <c r="IT97" s="76"/>
      <c r="IU97" s="76"/>
      <c r="IV97" s="76"/>
      <c r="IW97" s="76"/>
      <c r="IX97" s="76"/>
      <c r="IY97" s="76"/>
      <c r="IZ97" s="76"/>
      <c r="JA97" s="76"/>
      <c r="JB97" s="76"/>
      <c r="JG97" s="89"/>
    </row>
    <row r="98" spans="1:267" s="19" customFormat="1" ht="11.4" x14ac:dyDescent="0.25">
      <c r="A98" s="9"/>
      <c r="B98" s="9"/>
      <c r="C98" s="70"/>
      <c r="D98" s="14"/>
      <c r="E98" s="15"/>
      <c r="F98" s="41"/>
      <c r="G98" s="41"/>
      <c r="H98" s="16"/>
      <c r="I98" s="17"/>
      <c r="J98" s="18" t="str">
        <f t="shared" si="204"/>
        <v xml:space="preserve"> - </v>
      </c>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c r="BS98" s="9"/>
      <c r="BT98" s="9"/>
      <c r="BU98" s="9"/>
      <c r="BV98" s="9"/>
      <c r="BW98" s="9"/>
      <c r="BX98" s="9"/>
      <c r="BY98" s="9"/>
      <c r="BZ98" s="9"/>
      <c r="CA98" s="9"/>
      <c r="CB98" s="9"/>
      <c r="CC98" s="9"/>
      <c r="CD98" s="9"/>
      <c r="CE98" s="9"/>
      <c r="CF98" s="9"/>
      <c r="CG98" s="9"/>
      <c r="CH98" s="9"/>
      <c r="CI98" s="9"/>
      <c r="CJ98" s="9"/>
      <c r="CK98" s="9"/>
      <c r="CL98" s="9"/>
      <c r="CM98" s="9"/>
      <c r="CN98" s="9"/>
      <c r="CO98" s="9"/>
      <c r="CP98" s="9"/>
      <c r="CQ98" s="9"/>
      <c r="CR98" s="9"/>
      <c r="CS98" s="9"/>
      <c r="CT98" s="9"/>
      <c r="CU98" s="9"/>
      <c r="CV98" s="9"/>
      <c r="CW98" s="9"/>
      <c r="CX98" s="9"/>
      <c r="CY98" s="9"/>
      <c r="CZ98" s="9"/>
      <c r="DA98" s="9"/>
      <c r="DB98" s="9"/>
      <c r="DC98" s="9"/>
      <c r="DD98" s="9"/>
      <c r="DE98" s="9"/>
      <c r="DF98" s="9"/>
      <c r="DG98" s="9"/>
      <c r="DH98" s="9"/>
      <c r="DI98" s="9"/>
      <c r="DJ98" s="9"/>
      <c r="DK98" s="9"/>
      <c r="DL98" s="9"/>
      <c r="DM98" s="9"/>
      <c r="DN98" s="9"/>
      <c r="DO98" s="9"/>
      <c r="DP98" s="9"/>
      <c r="DQ98" s="9"/>
      <c r="DR98" s="9"/>
      <c r="DS98" s="9"/>
      <c r="DT98" s="9"/>
      <c r="DU98" s="9"/>
      <c r="DV98" s="9"/>
      <c r="DW98" s="9"/>
      <c r="DX98" s="9"/>
      <c r="DY98" s="9"/>
      <c r="DZ98" s="9"/>
      <c r="EA98" s="9"/>
      <c r="EB98" s="9"/>
      <c r="EC98" s="9"/>
      <c r="ED98" s="9"/>
      <c r="EE98" s="9"/>
      <c r="EF98" s="9"/>
      <c r="EG98" s="9"/>
      <c r="EH98" s="9"/>
      <c r="EI98" s="9"/>
      <c r="EJ98" s="9"/>
      <c r="EK98" s="9"/>
      <c r="EL98" s="9"/>
      <c r="EM98" s="9"/>
      <c r="EN98" s="9"/>
      <c r="EO98" s="9"/>
      <c r="EP98" s="9"/>
      <c r="EQ98" s="9"/>
      <c r="ER98" s="9"/>
      <c r="ES98" s="9"/>
      <c r="ET98" s="9"/>
      <c r="EU98" s="9"/>
      <c r="EV98" s="9"/>
      <c r="EW98" s="9"/>
      <c r="EX98" s="9"/>
      <c r="EY98" s="9"/>
      <c r="EZ98" s="9"/>
      <c r="FA98" s="9"/>
      <c r="FB98" s="9"/>
      <c r="FC98" s="9"/>
      <c r="FD98" s="9"/>
      <c r="FE98" s="9"/>
      <c r="FF98" s="9"/>
      <c r="FG98" s="9"/>
      <c r="FH98" s="9"/>
      <c r="FI98" s="9"/>
      <c r="FJ98" s="9"/>
      <c r="FK98" s="9"/>
      <c r="FL98" s="9"/>
      <c r="FM98" s="9"/>
      <c r="FN98" s="9"/>
      <c r="FO98" s="9"/>
      <c r="FP98" s="9"/>
      <c r="FQ98" s="9"/>
      <c r="FR98" s="9"/>
      <c r="FS98" s="9"/>
      <c r="FT98" s="9"/>
      <c r="FU98" s="9"/>
      <c r="FV98" s="9"/>
      <c r="FW98" s="9"/>
      <c r="FX98" s="9"/>
      <c r="FY98" s="9"/>
      <c r="FZ98" s="9"/>
      <c r="GA98" s="9"/>
      <c r="GB98" s="9"/>
      <c r="GC98" s="9"/>
      <c r="GD98" s="9"/>
      <c r="GE98" s="9"/>
      <c r="GF98" s="9"/>
      <c r="GG98" s="9"/>
      <c r="GH98" s="9"/>
      <c r="GI98" s="9"/>
      <c r="GJ98" s="9"/>
      <c r="GK98" s="9"/>
      <c r="GL98" s="9"/>
      <c r="GM98" s="9"/>
      <c r="GN98" s="9"/>
      <c r="GO98" s="9"/>
      <c r="GP98" s="9"/>
      <c r="GQ98" s="9"/>
      <c r="GR98" s="9"/>
      <c r="GS98" s="9"/>
      <c r="GT98" s="9"/>
      <c r="GU98" s="9"/>
      <c r="GV98" s="9"/>
      <c r="GW98" s="9"/>
      <c r="GX98" s="9"/>
      <c r="GY98" s="9"/>
      <c r="GZ98" s="9"/>
      <c r="HA98" s="9"/>
      <c r="HB98" s="9"/>
      <c r="HC98" s="9"/>
      <c r="HD98" s="9"/>
      <c r="HE98" s="9"/>
      <c r="HF98" s="9"/>
      <c r="HG98" s="9"/>
      <c r="HH98" s="9"/>
      <c r="HI98" s="9"/>
      <c r="HJ98" s="9"/>
      <c r="HK98" s="9"/>
      <c r="HL98" s="9"/>
      <c r="HM98" s="9"/>
      <c r="HN98" s="9"/>
      <c r="HO98" s="9"/>
      <c r="HP98" s="9"/>
      <c r="HQ98" s="9"/>
      <c r="HR98" s="9"/>
      <c r="HS98" s="9"/>
      <c r="HT98" s="9"/>
      <c r="HU98" s="9"/>
      <c r="HV98" s="9"/>
      <c r="HW98" s="9"/>
      <c r="HX98" s="9"/>
      <c r="HY98" s="9"/>
      <c r="HZ98" s="9"/>
      <c r="IA98" s="9"/>
      <c r="IB98" s="9"/>
      <c r="IC98" s="9"/>
      <c r="ID98" s="9"/>
      <c r="IE98" s="9"/>
      <c r="IF98" s="9"/>
      <c r="IG98" s="9"/>
      <c r="IH98" s="9"/>
      <c r="II98" s="9"/>
      <c r="IJ98" s="9"/>
      <c r="IK98" s="9"/>
      <c r="IL98" s="9"/>
      <c r="IM98" s="9"/>
      <c r="IN98" s="9"/>
      <c r="IO98" s="9"/>
      <c r="IP98" s="9"/>
      <c r="IQ98" s="9"/>
      <c r="IR98" s="9"/>
      <c r="IS98" s="9"/>
      <c r="IT98" s="9"/>
      <c r="IU98" s="9"/>
      <c r="IV98" s="9"/>
      <c r="IW98" s="9"/>
      <c r="IX98" s="9"/>
      <c r="IY98" s="9"/>
      <c r="IZ98" s="9"/>
      <c r="JA98" s="9"/>
      <c r="JB98" s="9"/>
      <c r="JG98" s="89"/>
    </row>
    <row r="99" spans="1:267" s="23" customFormat="1" x14ac:dyDescent="0.25">
      <c r="A99" s="20" t="s">
        <v>1</v>
      </c>
      <c r="B99" s="96"/>
      <c r="C99" s="71"/>
      <c r="D99" s="21"/>
      <c r="E99" s="21"/>
      <c r="F99" s="42"/>
      <c r="G99" s="42"/>
      <c r="H99" s="22"/>
      <c r="I99" s="22"/>
      <c r="J99" s="22"/>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c r="BS99" s="9"/>
      <c r="BT99" s="9"/>
      <c r="BU99" s="9"/>
      <c r="BV99" s="9"/>
      <c r="BW99" s="9"/>
      <c r="BX99" s="9"/>
      <c r="BY99" s="9"/>
      <c r="BZ99" s="9"/>
      <c r="CA99" s="9"/>
      <c r="CB99" s="9"/>
      <c r="CC99" s="9"/>
      <c r="CD99" s="9"/>
      <c r="CE99" s="9"/>
      <c r="CF99" s="9"/>
      <c r="CG99" s="9"/>
      <c r="CH99" s="9"/>
      <c r="CI99" s="9"/>
      <c r="CJ99" s="9"/>
      <c r="CK99" s="9"/>
      <c r="CL99" s="9"/>
      <c r="CM99" s="9"/>
      <c r="CN99" s="9"/>
      <c r="CO99" s="9"/>
      <c r="CP99" s="9"/>
      <c r="CQ99" s="9"/>
      <c r="CR99" s="9"/>
      <c r="CS99" s="9"/>
      <c r="CT99" s="9"/>
      <c r="CU99" s="9"/>
      <c r="CV99" s="9"/>
      <c r="CW99" s="9"/>
      <c r="CX99" s="9"/>
      <c r="CY99" s="9"/>
      <c r="CZ99" s="9"/>
      <c r="DA99" s="9"/>
      <c r="DB99" s="9"/>
      <c r="DC99" s="9"/>
      <c r="DD99" s="9"/>
      <c r="DE99" s="9"/>
      <c r="DF99" s="9"/>
      <c r="DG99" s="9"/>
      <c r="DH99" s="9"/>
      <c r="DI99" s="9"/>
      <c r="DJ99" s="9"/>
      <c r="DK99" s="9"/>
      <c r="DL99" s="9"/>
      <c r="DM99" s="9"/>
      <c r="DN99" s="9"/>
      <c r="DO99" s="9"/>
      <c r="DP99" s="9"/>
      <c r="DQ99" s="9"/>
      <c r="DR99" s="9"/>
      <c r="DS99" s="9"/>
      <c r="DT99" s="9"/>
      <c r="DU99" s="9"/>
      <c r="DV99" s="9"/>
      <c r="DW99" s="9"/>
      <c r="DX99" s="9"/>
      <c r="DY99" s="9"/>
      <c r="DZ99" s="9"/>
      <c r="EA99" s="9"/>
      <c r="EB99" s="9"/>
      <c r="EC99" s="9"/>
      <c r="ED99" s="9"/>
      <c r="EE99" s="9"/>
      <c r="EF99" s="9"/>
      <c r="EG99" s="9"/>
      <c r="EH99" s="9"/>
      <c r="EI99" s="9"/>
      <c r="EJ99" s="9"/>
      <c r="EK99" s="9"/>
      <c r="EL99" s="9"/>
      <c r="EM99" s="9"/>
      <c r="EN99" s="9"/>
      <c r="EO99" s="9"/>
      <c r="EP99" s="9"/>
      <c r="EQ99" s="9"/>
      <c r="ER99" s="9"/>
      <c r="ES99" s="9"/>
      <c r="ET99" s="9"/>
      <c r="EU99" s="9"/>
      <c r="EV99" s="9"/>
      <c r="EW99" s="9"/>
      <c r="EX99" s="9"/>
      <c r="EY99" s="9"/>
      <c r="EZ99" s="9"/>
      <c r="FA99" s="9"/>
      <c r="FB99" s="9"/>
      <c r="FC99" s="9"/>
      <c r="FD99" s="9"/>
      <c r="FE99" s="9"/>
      <c r="FF99" s="9"/>
      <c r="FG99" s="9"/>
      <c r="FH99" s="9"/>
      <c r="FI99" s="9"/>
      <c r="FJ99" s="9"/>
      <c r="FK99" s="9"/>
      <c r="FL99" s="9"/>
      <c r="FM99" s="9"/>
      <c r="FN99" s="9"/>
      <c r="FO99" s="9"/>
      <c r="FP99" s="9"/>
      <c r="FQ99" s="9"/>
      <c r="FR99" s="9"/>
      <c r="FS99" s="9"/>
      <c r="FT99" s="9"/>
      <c r="FU99" s="9"/>
      <c r="FV99" s="9"/>
      <c r="FW99" s="9"/>
      <c r="FX99" s="9"/>
      <c r="FY99" s="9"/>
      <c r="FZ99" s="9"/>
      <c r="GA99" s="9"/>
      <c r="GB99" s="9"/>
      <c r="GC99" s="9"/>
      <c r="GD99" s="9"/>
      <c r="GE99" s="9"/>
      <c r="GF99" s="9"/>
      <c r="GG99" s="9"/>
      <c r="GH99" s="9"/>
      <c r="GI99" s="9"/>
      <c r="GJ99" s="9"/>
      <c r="GK99" s="9"/>
      <c r="GL99" s="9"/>
      <c r="GM99" s="9"/>
      <c r="GN99" s="9"/>
      <c r="GO99" s="9"/>
      <c r="GP99" s="9"/>
      <c r="GQ99" s="9"/>
      <c r="GR99" s="9"/>
      <c r="GS99" s="9"/>
      <c r="GT99" s="9"/>
      <c r="GU99" s="9"/>
      <c r="GV99" s="9"/>
      <c r="GW99" s="9"/>
      <c r="GX99" s="9"/>
      <c r="GY99" s="9"/>
      <c r="GZ99" s="9"/>
      <c r="HA99" s="9"/>
      <c r="HB99" s="9"/>
      <c r="HC99" s="9"/>
      <c r="HD99" s="9"/>
      <c r="HE99" s="9"/>
      <c r="HF99" s="9"/>
      <c r="HG99" s="9"/>
      <c r="HH99" s="9"/>
      <c r="HI99" s="9"/>
      <c r="HJ99" s="9"/>
      <c r="HK99" s="9"/>
      <c r="HL99" s="9"/>
      <c r="HM99" s="9"/>
      <c r="HN99" s="9"/>
      <c r="HO99" s="9"/>
      <c r="HP99" s="9"/>
      <c r="HQ99" s="9"/>
      <c r="HR99" s="9"/>
      <c r="HS99" s="9"/>
      <c r="HT99" s="9"/>
      <c r="HU99" s="9"/>
      <c r="HV99" s="9"/>
      <c r="HW99" s="9"/>
      <c r="HX99" s="9"/>
      <c r="HY99" s="9"/>
      <c r="HZ99" s="9"/>
      <c r="IA99" s="9"/>
      <c r="IB99" s="9"/>
      <c r="IC99" s="9"/>
      <c r="ID99" s="9"/>
      <c r="IE99" s="9"/>
      <c r="IF99" s="9"/>
      <c r="IG99" s="9"/>
      <c r="IH99" s="9"/>
      <c r="II99" s="9"/>
      <c r="IJ99" s="9"/>
      <c r="IK99" s="9"/>
      <c r="IL99" s="9"/>
      <c r="IM99" s="9"/>
      <c r="IN99" s="9"/>
      <c r="IO99" s="9"/>
      <c r="IP99" s="9"/>
      <c r="IQ99" s="9"/>
      <c r="IR99" s="9"/>
      <c r="IS99" s="9"/>
      <c r="IT99" s="9"/>
      <c r="IU99" s="9"/>
      <c r="IV99" s="9"/>
      <c r="IW99" s="9"/>
      <c r="IX99" s="9"/>
      <c r="IY99" s="9"/>
      <c r="IZ99" s="9"/>
      <c r="JA99" s="9"/>
      <c r="JB99" s="9"/>
      <c r="JG99" s="90"/>
    </row>
    <row r="100" spans="1:267" s="19" customFormat="1" ht="11.4" x14ac:dyDescent="0.25">
      <c r="A100" s="24" t="s">
        <v>5</v>
      </c>
      <c r="B100" s="97"/>
      <c r="C100" s="72"/>
      <c r="D100" s="25"/>
      <c r="E100" s="25"/>
      <c r="F100" s="43"/>
      <c r="G100" s="43"/>
      <c r="H100" s="25"/>
      <c r="I100" s="25"/>
      <c r="J100" s="25"/>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c r="BS100" s="9"/>
      <c r="BT100" s="9"/>
      <c r="BU100" s="9"/>
      <c r="BV100" s="9"/>
      <c r="BW100" s="9"/>
      <c r="BX100" s="9"/>
      <c r="BY100" s="9"/>
      <c r="BZ100" s="9"/>
      <c r="CA100" s="9"/>
      <c r="CB100" s="9"/>
      <c r="CC100" s="9"/>
      <c r="CD100" s="9"/>
      <c r="CE100" s="9"/>
      <c r="CF100" s="9"/>
      <c r="CG100" s="9"/>
      <c r="CH100" s="9"/>
      <c r="CI100" s="9"/>
      <c r="CJ100" s="9"/>
      <c r="CK100" s="9"/>
      <c r="CL100" s="9"/>
      <c r="CM100" s="9"/>
      <c r="CN100" s="9"/>
      <c r="CO100" s="9"/>
      <c r="CP100" s="9"/>
      <c r="CQ100" s="9"/>
      <c r="CR100" s="9"/>
      <c r="CS100" s="9"/>
      <c r="CT100" s="9"/>
      <c r="CU100" s="9"/>
      <c r="CV100" s="9"/>
      <c r="CW100" s="9"/>
      <c r="CX100" s="9"/>
      <c r="CY100" s="9"/>
      <c r="CZ100" s="9"/>
      <c r="DA100" s="9"/>
      <c r="DB100" s="9"/>
      <c r="DC100" s="9"/>
      <c r="DD100" s="9"/>
      <c r="DE100" s="9"/>
      <c r="DF100" s="9"/>
      <c r="DG100" s="9"/>
      <c r="DH100" s="9"/>
      <c r="DI100" s="9"/>
      <c r="DJ100" s="9"/>
      <c r="DK100" s="9"/>
      <c r="DL100" s="9"/>
      <c r="DM100" s="9"/>
      <c r="DN100" s="9"/>
      <c r="DO100" s="9"/>
      <c r="DP100" s="9"/>
      <c r="DQ100" s="9"/>
      <c r="DR100" s="9"/>
      <c r="DS100" s="9"/>
      <c r="DT100" s="9"/>
      <c r="DU100" s="9"/>
      <c r="DV100" s="9"/>
      <c r="DW100" s="9"/>
      <c r="DX100" s="9"/>
      <c r="DY100" s="9"/>
      <c r="DZ100" s="9"/>
      <c r="EA100" s="9"/>
      <c r="EB100" s="9"/>
      <c r="EC100" s="9"/>
      <c r="ED100" s="9"/>
      <c r="EE100" s="9"/>
      <c r="EF100" s="9"/>
      <c r="EG100" s="9"/>
      <c r="EH100" s="9"/>
      <c r="EI100" s="9"/>
      <c r="EJ100" s="9"/>
      <c r="EK100" s="9"/>
      <c r="EL100" s="9"/>
      <c r="EM100" s="9"/>
      <c r="EN100" s="9"/>
      <c r="EO100" s="9"/>
      <c r="EP100" s="9"/>
      <c r="EQ100" s="9"/>
      <c r="ER100" s="9"/>
      <c r="ES100" s="9"/>
      <c r="ET100" s="9"/>
      <c r="EU100" s="9"/>
      <c r="EV100" s="9"/>
      <c r="EW100" s="9"/>
      <c r="EX100" s="9"/>
      <c r="EY100" s="9"/>
      <c r="EZ100" s="9"/>
      <c r="FA100" s="9"/>
      <c r="FB100" s="9"/>
      <c r="FC100" s="9"/>
      <c r="FD100" s="9"/>
      <c r="FE100" s="9"/>
      <c r="FF100" s="9"/>
      <c r="FG100" s="9"/>
      <c r="FH100" s="9"/>
      <c r="FI100" s="9"/>
      <c r="FJ100" s="9"/>
      <c r="FK100" s="9"/>
      <c r="FL100" s="9"/>
      <c r="FM100" s="9"/>
      <c r="FN100" s="9"/>
      <c r="FO100" s="9"/>
      <c r="FP100" s="9"/>
      <c r="FQ100" s="9"/>
      <c r="FR100" s="9"/>
      <c r="FS100" s="9"/>
      <c r="FT100" s="9"/>
      <c r="FU100" s="9"/>
      <c r="FV100" s="9"/>
      <c r="FW100" s="9"/>
      <c r="FX100" s="9"/>
      <c r="FY100" s="9"/>
      <c r="FZ100" s="9"/>
      <c r="GA100" s="9"/>
      <c r="GB100" s="9"/>
      <c r="GC100" s="9"/>
      <c r="GD100" s="9"/>
      <c r="GE100" s="9"/>
      <c r="GF100" s="9"/>
      <c r="GG100" s="9"/>
      <c r="GH100" s="9"/>
      <c r="GI100" s="9"/>
      <c r="GJ100" s="9"/>
      <c r="GK100" s="9"/>
      <c r="GL100" s="9"/>
      <c r="GM100" s="9"/>
      <c r="GN100" s="9"/>
      <c r="GO100" s="9"/>
      <c r="GP100" s="9"/>
      <c r="GQ100" s="9"/>
      <c r="GR100" s="9"/>
      <c r="GS100" s="9"/>
      <c r="GT100" s="9"/>
      <c r="GU100" s="9"/>
      <c r="GV100" s="9"/>
      <c r="GW100" s="9"/>
      <c r="GX100" s="9"/>
      <c r="GY100" s="9"/>
      <c r="GZ100" s="9"/>
      <c r="HA100" s="9"/>
      <c r="HB100" s="9"/>
      <c r="HC100" s="9"/>
      <c r="HD100" s="9"/>
      <c r="HE100" s="9"/>
      <c r="HF100" s="9"/>
      <c r="HG100" s="9"/>
      <c r="HH100" s="9"/>
      <c r="HI100" s="9"/>
      <c r="HJ100" s="9"/>
      <c r="HK100" s="9"/>
      <c r="HL100" s="9"/>
      <c r="HM100" s="9"/>
      <c r="HN100" s="9"/>
      <c r="HO100" s="9"/>
      <c r="HP100" s="9"/>
      <c r="HQ100" s="9"/>
      <c r="HR100" s="9"/>
      <c r="HS100" s="9"/>
      <c r="HT100" s="9"/>
      <c r="HU100" s="9"/>
      <c r="HV100" s="9"/>
      <c r="HW100" s="9"/>
      <c r="HX100" s="9"/>
      <c r="HY100" s="9"/>
      <c r="HZ100" s="9"/>
      <c r="IA100" s="9"/>
      <c r="IB100" s="9"/>
      <c r="IC100" s="9"/>
      <c r="ID100" s="9"/>
      <c r="IE100" s="9"/>
      <c r="IF100" s="9"/>
      <c r="IG100" s="9"/>
      <c r="IH100" s="9"/>
      <c r="II100" s="9"/>
      <c r="IJ100" s="9"/>
      <c r="IK100" s="9"/>
      <c r="IL100" s="9"/>
      <c r="IM100" s="9"/>
      <c r="IN100" s="9"/>
      <c r="IO100" s="9"/>
      <c r="IP100" s="9"/>
      <c r="IQ100" s="9"/>
      <c r="IR100" s="9"/>
      <c r="IS100" s="9"/>
      <c r="IT100" s="9"/>
      <c r="IU100" s="9"/>
      <c r="IV100" s="9"/>
      <c r="IW100" s="9"/>
      <c r="IX100" s="9"/>
      <c r="IY100" s="9"/>
      <c r="IZ100" s="9"/>
      <c r="JA100" s="9"/>
      <c r="JB100" s="9"/>
      <c r="JG100" s="89"/>
    </row>
    <row r="101" spans="1:267" s="19" customFormat="1" ht="13.8" x14ac:dyDescent="0.25">
      <c r="A101" s="3" t="str">
        <f>IF(ISERROR(VALUE(SUBSTITUTE(prevWBS,".",""))),"1",IF(ISERROR(FIND("`",SUBSTITUTE(prevWBS,".","`",1))),TEXT(VALUE(prevWBS)+1,"#"),TEXT(VALUE(LEFT(prevWBS,FIND("`",SUBSTITUTE(prevWBS,".","`",1))-1))+1,"#")))</f>
        <v>1</v>
      </c>
      <c r="B101" s="98"/>
      <c r="C101" s="73" t="s">
        <v>20</v>
      </c>
      <c r="D101" s="26"/>
      <c r="E101" s="27"/>
      <c r="F101" s="38"/>
      <c r="G101" s="39" t="str">
        <f t="shared" ref="G101:G104" si="230">IF(ISBLANK(F101)," - ",IF(H101=0,F101,F101+H101-1))</f>
        <v xml:space="preserve"> - </v>
      </c>
      <c r="H101" s="11"/>
      <c r="I101" s="12"/>
      <c r="J101" s="13" t="str">
        <f>IF(OR(G101=0,F101=0)," - ",NETWORKDAYS(F101,G101))</f>
        <v xml:space="preserve"> - </v>
      </c>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c r="BS101" s="9"/>
      <c r="BT101" s="9"/>
      <c r="BU101" s="9"/>
      <c r="BV101" s="9"/>
      <c r="BW101" s="9"/>
      <c r="BX101" s="9"/>
      <c r="BY101" s="9"/>
      <c r="BZ101" s="9"/>
      <c r="CA101" s="9"/>
      <c r="CB101" s="9"/>
      <c r="CC101" s="9"/>
      <c r="CD101" s="9"/>
      <c r="CE101" s="9"/>
      <c r="CF101" s="9"/>
      <c r="CG101" s="9"/>
      <c r="CH101" s="9"/>
      <c r="CI101" s="9"/>
      <c r="CJ101" s="9"/>
      <c r="CK101" s="9"/>
      <c r="CL101" s="9"/>
      <c r="CM101" s="9"/>
      <c r="CN101" s="9"/>
      <c r="CO101" s="9"/>
      <c r="CP101" s="9"/>
      <c r="CQ101" s="9"/>
      <c r="CR101" s="9"/>
      <c r="CS101" s="9"/>
      <c r="CT101" s="9"/>
      <c r="CU101" s="9"/>
      <c r="CV101" s="9"/>
      <c r="CW101" s="9"/>
      <c r="CX101" s="9"/>
      <c r="CY101" s="9"/>
      <c r="CZ101" s="9"/>
      <c r="DA101" s="9"/>
      <c r="DB101" s="9"/>
      <c r="DC101" s="9"/>
      <c r="DD101" s="9"/>
      <c r="DE101" s="9"/>
      <c r="DF101" s="9"/>
      <c r="DG101" s="9"/>
      <c r="DH101" s="9"/>
      <c r="DI101" s="9"/>
      <c r="DJ101" s="9"/>
      <c r="DK101" s="9"/>
      <c r="DL101" s="9"/>
      <c r="DM101" s="9"/>
      <c r="DN101" s="9"/>
      <c r="DO101" s="9"/>
      <c r="DP101" s="9"/>
      <c r="DQ101" s="9"/>
      <c r="DR101" s="9"/>
      <c r="DS101" s="9"/>
      <c r="DT101" s="9"/>
      <c r="DU101" s="9"/>
      <c r="DV101" s="9"/>
      <c r="DW101" s="9"/>
      <c r="DX101" s="9"/>
      <c r="DY101" s="9"/>
      <c r="DZ101" s="9"/>
      <c r="EA101" s="9"/>
      <c r="EB101" s="9"/>
      <c r="EC101" s="9"/>
      <c r="ED101" s="9"/>
      <c r="EE101" s="9"/>
      <c r="EF101" s="9"/>
      <c r="EG101" s="9"/>
      <c r="EH101" s="9"/>
      <c r="EI101" s="9"/>
      <c r="EJ101" s="9"/>
      <c r="EK101" s="9"/>
      <c r="EL101" s="9"/>
      <c r="EM101" s="9"/>
      <c r="EN101" s="9"/>
      <c r="EO101" s="9"/>
      <c r="EP101" s="9"/>
      <c r="EQ101" s="9"/>
      <c r="ER101" s="9"/>
      <c r="ES101" s="9"/>
      <c r="ET101" s="9"/>
      <c r="EU101" s="9"/>
      <c r="EV101" s="9"/>
      <c r="EW101" s="9"/>
      <c r="EX101" s="9"/>
      <c r="EY101" s="9"/>
      <c r="EZ101" s="9"/>
      <c r="FA101" s="9"/>
      <c r="FB101" s="9"/>
      <c r="FC101" s="9"/>
      <c r="FD101" s="9"/>
      <c r="FE101" s="9"/>
      <c r="FF101" s="9"/>
      <c r="FG101" s="9"/>
      <c r="FH101" s="9"/>
      <c r="FI101" s="9"/>
      <c r="FJ101" s="9"/>
      <c r="FK101" s="9"/>
      <c r="FL101" s="9"/>
      <c r="FM101" s="9"/>
      <c r="FN101" s="9"/>
      <c r="FO101" s="9"/>
      <c r="FP101" s="9"/>
      <c r="FQ101" s="9"/>
      <c r="FR101" s="9"/>
      <c r="FS101" s="9"/>
      <c r="FT101" s="9"/>
      <c r="FU101" s="9"/>
      <c r="FV101" s="9"/>
      <c r="FW101" s="9"/>
      <c r="FX101" s="9"/>
      <c r="FY101" s="9"/>
      <c r="FZ101" s="9"/>
      <c r="GA101" s="9"/>
      <c r="GB101" s="9"/>
      <c r="GC101" s="9"/>
      <c r="GD101" s="9"/>
      <c r="GE101" s="9"/>
      <c r="GF101" s="9"/>
      <c r="GG101" s="9"/>
      <c r="GH101" s="9"/>
      <c r="GI101" s="9"/>
      <c r="GJ101" s="9"/>
      <c r="GK101" s="9"/>
      <c r="GL101" s="9"/>
      <c r="GM101" s="9"/>
      <c r="GN101" s="9"/>
      <c r="GO101" s="9"/>
      <c r="GP101" s="9"/>
      <c r="GQ101" s="9"/>
      <c r="GR101" s="9"/>
      <c r="GS101" s="9"/>
      <c r="GT101" s="9"/>
      <c r="GU101" s="9"/>
      <c r="GV101" s="9"/>
      <c r="GW101" s="9"/>
      <c r="GX101" s="9"/>
      <c r="GY101" s="9"/>
      <c r="GZ101" s="9"/>
      <c r="HA101" s="9"/>
      <c r="HB101" s="9"/>
      <c r="HC101" s="9"/>
      <c r="HD101" s="9"/>
      <c r="HE101" s="9"/>
      <c r="HF101" s="9"/>
      <c r="HG101" s="9"/>
      <c r="HH101" s="9"/>
      <c r="HI101" s="9"/>
      <c r="HJ101" s="9"/>
      <c r="HK101" s="9"/>
      <c r="HL101" s="9"/>
      <c r="HM101" s="9"/>
      <c r="HN101" s="9"/>
      <c r="HO101" s="9"/>
      <c r="HP101" s="9"/>
      <c r="HQ101" s="9"/>
      <c r="HR101" s="9"/>
      <c r="HS101" s="9"/>
      <c r="HT101" s="9"/>
      <c r="HU101" s="9"/>
      <c r="HV101" s="9"/>
      <c r="HW101" s="9"/>
      <c r="HX101" s="9"/>
      <c r="HY101" s="9"/>
      <c r="HZ101" s="9"/>
      <c r="IA101" s="9"/>
      <c r="IB101" s="9"/>
      <c r="IC101" s="9"/>
      <c r="ID101" s="9"/>
      <c r="IE101" s="9"/>
      <c r="IF101" s="9"/>
      <c r="IG101" s="9"/>
      <c r="IH101" s="9"/>
      <c r="II101" s="9"/>
      <c r="IJ101" s="9"/>
      <c r="IK101" s="9"/>
      <c r="IL101" s="9"/>
      <c r="IM101" s="9"/>
      <c r="IN101" s="9"/>
      <c r="IO101" s="9"/>
      <c r="IP101" s="9"/>
      <c r="IQ101" s="9"/>
      <c r="IR101" s="9"/>
      <c r="IS101" s="9"/>
      <c r="IT101" s="9"/>
      <c r="IU101" s="9"/>
      <c r="IV101" s="9"/>
      <c r="IW101" s="9"/>
      <c r="IX101" s="9"/>
      <c r="IY101" s="9"/>
      <c r="IZ101" s="9"/>
      <c r="JA101" s="9"/>
      <c r="JB101" s="9"/>
      <c r="JG101" s="89"/>
    </row>
    <row r="102" spans="1:267" s="19" customFormat="1" ht="11.4" x14ac:dyDescent="0.25">
      <c r="A102" s="9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102" s="95"/>
      <c r="C102" s="69" t="s">
        <v>6</v>
      </c>
      <c r="D102" s="28"/>
      <c r="E102" s="27"/>
      <c r="F102" s="38"/>
      <c r="G102" s="39" t="str">
        <f t="shared" si="230"/>
        <v xml:space="preserve"> - </v>
      </c>
      <c r="H102" s="11"/>
      <c r="I102" s="12"/>
      <c r="J102" s="13" t="str">
        <f t="shared" ref="J102:J104" si="231">IF(OR(G102=0,F102=0)," - ",NETWORKDAYS(F102,G102))</f>
        <v xml:space="preserve"> - </v>
      </c>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c r="BS102" s="9"/>
      <c r="BT102" s="9"/>
      <c r="BU102" s="9"/>
      <c r="BV102" s="9"/>
      <c r="BW102" s="9"/>
      <c r="BX102" s="9"/>
      <c r="BY102" s="9"/>
      <c r="BZ102" s="9"/>
      <c r="CA102" s="9"/>
      <c r="CB102" s="9"/>
      <c r="CC102" s="9"/>
      <c r="CD102" s="9"/>
      <c r="CE102" s="9"/>
      <c r="CF102" s="9"/>
      <c r="CG102" s="9"/>
      <c r="CH102" s="9"/>
      <c r="CI102" s="9"/>
      <c r="CJ102" s="9"/>
      <c r="CK102" s="9"/>
      <c r="CL102" s="9"/>
      <c r="CM102" s="9"/>
      <c r="CN102" s="9"/>
      <c r="CO102" s="9"/>
      <c r="CP102" s="9"/>
      <c r="CQ102" s="9"/>
      <c r="CR102" s="9"/>
      <c r="CS102" s="9"/>
      <c r="CT102" s="9"/>
      <c r="CU102" s="9"/>
      <c r="CV102" s="9"/>
      <c r="CW102" s="9"/>
      <c r="CX102" s="9"/>
      <c r="CY102" s="9"/>
      <c r="CZ102" s="9"/>
      <c r="DA102" s="9"/>
      <c r="DB102" s="9"/>
      <c r="DC102" s="9"/>
      <c r="DD102" s="9"/>
      <c r="DE102" s="9"/>
      <c r="DF102" s="9"/>
      <c r="DG102" s="9"/>
      <c r="DH102" s="9"/>
      <c r="DI102" s="9"/>
      <c r="DJ102" s="9"/>
      <c r="DK102" s="9"/>
      <c r="DL102" s="9"/>
      <c r="DM102" s="9"/>
      <c r="DN102" s="9"/>
      <c r="DO102" s="9"/>
      <c r="DP102" s="9"/>
      <c r="DQ102" s="9"/>
      <c r="DR102" s="9"/>
      <c r="DS102" s="9"/>
      <c r="DT102" s="9"/>
      <c r="DU102" s="9"/>
      <c r="DV102" s="9"/>
      <c r="DW102" s="9"/>
      <c r="DX102" s="9"/>
      <c r="DY102" s="9"/>
      <c r="DZ102" s="9"/>
      <c r="EA102" s="9"/>
      <c r="EB102" s="9"/>
      <c r="EC102" s="9"/>
      <c r="ED102" s="9"/>
      <c r="EE102" s="9"/>
      <c r="EF102" s="9"/>
      <c r="EG102" s="9"/>
      <c r="EH102" s="9"/>
      <c r="EI102" s="9"/>
      <c r="EJ102" s="9"/>
      <c r="EK102" s="9"/>
      <c r="EL102" s="9"/>
      <c r="EM102" s="9"/>
      <c r="EN102" s="9"/>
      <c r="EO102" s="9"/>
      <c r="EP102" s="9"/>
      <c r="EQ102" s="9"/>
      <c r="ER102" s="9"/>
      <c r="ES102" s="9"/>
      <c r="ET102" s="9"/>
      <c r="EU102" s="9"/>
      <c r="EV102" s="9"/>
      <c r="EW102" s="9"/>
      <c r="EX102" s="9"/>
      <c r="EY102" s="9"/>
      <c r="EZ102" s="9"/>
      <c r="FA102" s="9"/>
      <c r="FB102" s="9"/>
      <c r="FC102" s="9"/>
      <c r="FD102" s="9"/>
      <c r="FE102" s="9"/>
      <c r="FF102" s="9"/>
      <c r="FG102" s="9"/>
      <c r="FH102" s="9"/>
      <c r="FI102" s="9"/>
      <c r="FJ102" s="9"/>
      <c r="FK102" s="9"/>
      <c r="FL102" s="9"/>
      <c r="FM102" s="9"/>
      <c r="FN102" s="9"/>
      <c r="FO102" s="9"/>
      <c r="FP102" s="9"/>
      <c r="FQ102" s="9"/>
      <c r="FR102" s="9"/>
      <c r="FS102" s="9"/>
      <c r="FT102" s="9"/>
      <c r="FU102" s="9"/>
      <c r="FV102" s="9"/>
      <c r="FW102" s="9"/>
      <c r="FX102" s="9"/>
      <c r="FY102" s="9"/>
      <c r="FZ102" s="9"/>
      <c r="GA102" s="9"/>
      <c r="GB102" s="9"/>
      <c r="GC102" s="9"/>
      <c r="GD102" s="9"/>
      <c r="GE102" s="9"/>
      <c r="GF102" s="9"/>
      <c r="GG102" s="9"/>
      <c r="GH102" s="9"/>
      <c r="GI102" s="9"/>
      <c r="GJ102" s="9"/>
      <c r="GK102" s="9"/>
      <c r="GL102" s="9"/>
      <c r="GM102" s="9"/>
      <c r="GN102" s="9"/>
      <c r="GO102" s="9"/>
      <c r="GP102" s="9"/>
      <c r="GQ102" s="9"/>
      <c r="GR102" s="9"/>
      <c r="GS102" s="9"/>
      <c r="GT102" s="9"/>
      <c r="GU102" s="9"/>
      <c r="GV102" s="9"/>
      <c r="GW102" s="9"/>
      <c r="GX102" s="9"/>
      <c r="GY102" s="9"/>
      <c r="GZ102" s="9"/>
      <c r="HA102" s="9"/>
      <c r="HB102" s="9"/>
      <c r="HC102" s="9"/>
      <c r="HD102" s="9"/>
      <c r="HE102" s="9"/>
      <c r="HF102" s="9"/>
      <c r="HG102" s="9"/>
      <c r="HH102" s="9"/>
      <c r="HI102" s="9"/>
      <c r="HJ102" s="9"/>
      <c r="HK102" s="9"/>
      <c r="HL102" s="9"/>
      <c r="HM102" s="9"/>
      <c r="HN102" s="9"/>
      <c r="HO102" s="9"/>
      <c r="HP102" s="9"/>
      <c r="HQ102" s="9"/>
      <c r="HR102" s="9"/>
      <c r="HS102" s="9"/>
      <c r="HT102" s="9"/>
      <c r="HU102" s="9"/>
      <c r="HV102" s="9"/>
      <c r="HW102" s="9"/>
      <c r="HX102" s="9"/>
      <c r="HY102" s="9"/>
      <c r="HZ102" s="9"/>
      <c r="IA102" s="9"/>
      <c r="IB102" s="9"/>
      <c r="IC102" s="9"/>
      <c r="ID102" s="9"/>
      <c r="IE102" s="9"/>
      <c r="IF102" s="9"/>
      <c r="IG102" s="9"/>
      <c r="IH102" s="9"/>
      <c r="II102" s="9"/>
      <c r="IJ102" s="9"/>
      <c r="IK102" s="9"/>
      <c r="IL102" s="9"/>
      <c r="IM102" s="9"/>
      <c r="IN102" s="9"/>
      <c r="IO102" s="9"/>
      <c r="IP102" s="9"/>
      <c r="IQ102" s="9"/>
      <c r="IR102" s="9"/>
      <c r="IS102" s="9"/>
      <c r="IT102" s="9"/>
      <c r="IU102" s="9"/>
      <c r="IV102" s="9"/>
      <c r="IW102" s="9"/>
      <c r="IX102" s="9"/>
      <c r="IY102" s="9"/>
      <c r="IZ102" s="9"/>
      <c r="JA102" s="9"/>
      <c r="JB102" s="9"/>
      <c r="JG102" s="89"/>
    </row>
    <row r="103" spans="1:267" s="19" customFormat="1" ht="11.4" x14ac:dyDescent="0.25">
      <c r="A103" s="9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103" s="95"/>
      <c r="C103" s="74" t="s">
        <v>7</v>
      </c>
      <c r="D103" s="28"/>
      <c r="E103" s="27"/>
      <c r="F103" s="38"/>
      <c r="G103" s="39" t="str">
        <f t="shared" si="230"/>
        <v xml:space="preserve"> - </v>
      </c>
      <c r="H103" s="11"/>
      <c r="I103" s="12"/>
      <c r="J103" s="13" t="str">
        <f t="shared" si="231"/>
        <v xml:space="preserve"> - </v>
      </c>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c r="BS103" s="9"/>
      <c r="BT103" s="9"/>
      <c r="BU103" s="9"/>
      <c r="BV103" s="9"/>
      <c r="BW103" s="9"/>
      <c r="BX103" s="9"/>
      <c r="BY103" s="9"/>
      <c r="BZ103" s="9"/>
      <c r="CA103" s="9"/>
      <c r="CB103" s="9"/>
      <c r="CC103" s="9"/>
      <c r="CD103" s="9"/>
      <c r="CE103" s="9"/>
      <c r="CF103" s="9"/>
      <c r="CG103" s="9"/>
      <c r="CH103" s="9"/>
      <c r="CI103" s="9"/>
      <c r="CJ103" s="9"/>
      <c r="CK103" s="9"/>
      <c r="CL103" s="9"/>
      <c r="CM103" s="9"/>
      <c r="CN103" s="9"/>
      <c r="CO103" s="9"/>
      <c r="CP103" s="9"/>
      <c r="CQ103" s="9"/>
      <c r="CR103" s="9"/>
      <c r="CS103" s="9"/>
      <c r="CT103" s="9"/>
      <c r="CU103" s="9"/>
      <c r="CV103" s="9"/>
      <c r="CW103" s="9"/>
      <c r="CX103" s="9"/>
      <c r="CY103" s="9"/>
      <c r="CZ103" s="9"/>
      <c r="DA103" s="9"/>
      <c r="DB103" s="9"/>
      <c r="DC103" s="9"/>
      <c r="DD103" s="9"/>
      <c r="DE103" s="9"/>
      <c r="DF103" s="9"/>
      <c r="DG103" s="9"/>
      <c r="DH103" s="9"/>
      <c r="DI103" s="9"/>
      <c r="DJ103" s="9"/>
      <c r="DK103" s="9"/>
      <c r="DL103" s="9"/>
      <c r="DM103" s="9"/>
      <c r="DN103" s="9"/>
      <c r="DO103" s="9"/>
      <c r="DP103" s="9"/>
      <c r="DQ103" s="9"/>
      <c r="DR103" s="9"/>
      <c r="DS103" s="9"/>
      <c r="DT103" s="9"/>
      <c r="DU103" s="9"/>
      <c r="DV103" s="9"/>
      <c r="DW103" s="9"/>
      <c r="DX103" s="9"/>
      <c r="DY103" s="9"/>
      <c r="DZ103" s="9"/>
      <c r="EA103" s="9"/>
      <c r="EB103" s="9"/>
      <c r="EC103" s="9"/>
      <c r="ED103" s="9"/>
      <c r="EE103" s="9"/>
      <c r="EF103" s="9"/>
      <c r="EG103" s="9"/>
      <c r="EH103" s="9"/>
      <c r="EI103" s="9"/>
      <c r="EJ103" s="9"/>
      <c r="EK103" s="9"/>
      <c r="EL103" s="9"/>
      <c r="EM103" s="9"/>
      <c r="EN103" s="9"/>
      <c r="EO103" s="9"/>
      <c r="EP103" s="9"/>
      <c r="EQ103" s="9"/>
      <c r="ER103" s="9"/>
      <c r="ES103" s="9"/>
      <c r="ET103" s="9"/>
      <c r="EU103" s="9"/>
      <c r="EV103" s="9"/>
      <c r="EW103" s="9"/>
      <c r="EX103" s="9"/>
      <c r="EY103" s="9"/>
      <c r="EZ103" s="9"/>
      <c r="FA103" s="9"/>
      <c r="FB103" s="9"/>
      <c r="FC103" s="9"/>
      <c r="FD103" s="9"/>
      <c r="FE103" s="9"/>
      <c r="FF103" s="9"/>
      <c r="FG103" s="9"/>
      <c r="FH103" s="9"/>
      <c r="FI103" s="9"/>
      <c r="FJ103" s="9"/>
      <c r="FK103" s="9"/>
      <c r="FL103" s="9"/>
      <c r="FM103" s="9"/>
      <c r="FN103" s="9"/>
      <c r="FO103" s="9"/>
      <c r="FP103" s="9"/>
      <c r="FQ103" s="9"/>
      <c r="FR103" s="9"/>
      <c r="FS103" s="9"/>
      <c r="FT103" s="9"/>
      <c r="FU103" s="9"/>
      <c r="FV103" s="9"/>
      <c r="FW103" s="9"/>
      <c r="FX103" s="9"/>
      <c r="FY103" s="9"/>
      <c r="FZ103" s="9"/>
      <c r="GA103" s="9"/>
      <c r="GB103" s="9"/>
      <c r="GC103" s="9"/>
      <c r="GD103" s="9"/>
      <c r="GE103" s="9"/>
      <c r="GF103" s="9"/>
      <c r="GG103" s="9"/>
      <c r="GH103" s="9"/>
      <c r="GI103" s="9"/>
      <c r="GJ103" s="9"/>
      <c r="GK103" s="9"/>
      <c r="GL103" s="9"/>
      <c r="GM103" s="9"/>
      <c r="GN103" s="9"/>
      <c r="GO103" s="9"/>
      <c r="GP103" s="9"/>
      <c r="GQ103" s="9"/>
      <c r="GR103" s="9"/>
      <c r="GS103" s="9"/>
      <c r="GT103" s="9"/>
      <c r="GU103" s="9"/>
      <c r="GV103" s="9"/>
      <c r="GW103" s="9"/>
      <c r="GX103" s="9"/>
      <c r="GY103" s="9"/>
      <c r="GZ103" s="9"/>
      <c r="HA103" s="9"/>
      <c r="HB103" s="9"/>
      <c r="HC103" s="9"/>
      <c r="HD103" s="9"/>
      <c r="HE103" s="9"/>
      <c r="HF103" s="9"/>
      <c r="HG103" s="9"/>
      <c r="HH103" s="9"/>
      <c r="HI103" s="9"/>
      <c r="HJ103" s="9"/>
      <c r="HK103" s="9"/>
      <c r="HL103" s="9"/>
      <c r="HM103" s="9"/>
      <c r="HN103" s="9"/>
      <c r="HO103" s="9"/>
      <c r="HP103" s="9"/>
      <c r="HQ103" s="9"/>
      <c r="HR103" s="9"/>
      <c r="HS103" s="9"/>
      <c r="HT103" s="9"/>
      <c r="HU103" s="9"/>
      <c r="HV103" s="9"/>
      <c r="HW103" s="9"/>
      <c r="HX103" s="9"/>
      <c r="HY103" s="9"/>
      <c r="HZ103" s="9"/>
      <c r="IA103" s="9"/>
      <c r="IB103" s="9"/>
      <c r="IC103" s="9"/>
      <c r="ID103" s="9"/>
      <c r="IE103" s="9"/>
      <c r="IF103" s="9"/>
      <c r="IG103" s="9"/>
      <c r="IH103" s="9"/>
      <c r="II103" s="9"/>
      <c r="IJ103" s="9"/>
      <c r="IK103" s="9"/>
      <c r="IL103" s="9"/>
      <c r="IM103" s="9"/>
      <c r="IN103" s="9"/>
      <c r="IO103" s="9"/>
      <c r="IP103" s="9"/>
      <c r="IQ103" s="9"/>
      <c r="IR103" s="9"/>
      <c r="IS103" s="9"/>
      <c r="IT103" s="9"/>
      <c r="IU103" s="9"/>
      <c r="IV103" s="9"/>
      <c r="IW103" s="9"/>
      <c r="IX103" s="9"/>
      <c r="IY103" s="9"/>
      <c r="IZ103" s="9"/>
      <c r="JA103" s="9"/>
      <c r="JB103" s="9"/>
      <c r="JG103" s="89"/>
    </row>
    <row r="104" spans="1:267" s="19" customFormat="1" ht="11.4" x14ac:dyDescent="0.25">
      <c r="A104" s="93"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v>
      </c>
      <c r="B104" s="95"/>
      <c r="C104" s="74" t="s">
        <v>8</v>
      </c>
      <c r="D104" s="28"/>
      <c r="E104" s="27"/>
      <c r="F104" s="38"/>
      <c r="G104" s="39" t="str">
        <f t="shared" si="230"/>
        <v xml:space="preserve"> - </v>
      </c>
      <c r="H104" s="11"/>
      <c r="I104" s="12"/>
      <c r="J104" s="13" t="str">
        <f t="shared" si="231"/>
        <v xml:space="preserve"> - </v>
      </c>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c r="BS104" s="9"/>
      <c r="BT104" s="9"/>
      <c r="BU104" s="9"/>
      <c r="BV104" s="9"/>
      <c r="BW104" s="9"/>
      <c r="BX104" s="9"/>
      <c r="BY104" s="9"/>
      <c r="BZ104" s="9"/>
      <c r="CA104" s="9"/>
      <c r="CB104" s="9"/>
      <c r="CC104" s="9"/>
      <c r="CD104" s="9"/>
      <c r="CE104" s="9"/>
      <c r="CF104" s="9"/>
      <c r="CG104" s="9"/>
      <c r="CH104" s="9"/>
      <c r="CI104" s="9"/>
      <c r="CJ104" s="9"/>
      <c r="CK104" s="9"/>
      <c r="CL104" s="9"/>
      <c r="CM104" s="9"/>
      <c r="CN104" s="9"/>
      <c r="CO104" s="9"/>
      <c r="CP104" s="9"/>
      <c r="CQ104" s="9"/>
      <c r="CR104" s="9"/>
      <c r="CS104" s="9"/>
      <c r="CT104" s="9"/>
      <c r="CU104" s="9"/>
      <c r="CV104" s="9"/>
      <c r="CW104" s="9"/>
      <c r="CX104" s="9"/>
      <c r="CY104" s="9"/>
      <c r="CZ104" s="9"/>
      <c r="DA104" s="9"/>
      <c r="DB104" s="9"/>
      <c r="DC104" s="9"/>
      <c r="DD104" s="9"/>
      <c r="DE104" s="9"/>
      <c r="DF104" s="9"/>
      <c r="DG104" s="9"/>
      <c r="DH104" s="9"/>
      <c r="DI104" s="9"/>
      <c r="DJ104" s="9"/>
      <c r="DK104" s="9"/>
      <c r="DL104" s="9"/>
      <c r="DM104" s="9"/>
      <c r="DN104" s="9"/>
      <c r="DO104" s="9"/>
      <c r="DP104" s="9"/>
      <c r="DQ104" s="9"/>
      <c r="DR104" s="9"/>
      <c r="DS104" s="9"/>
      <c r="DT104" s="9"/>
      <c r="DU104" s="9"/>
      <c r="DV104" s="9"/>
      <c r="DW104" s="9"/>
      <c r="DX104" s="9"/>
      <c r="DY104" s="9"/>
      <c r="DZ104" s="9"/>
      <c r="EA104" s="9"/>
      <c r="EB104" s="9"/>
      <c r="EC104" s="9"/>
      <c r="ED104" s="9"/>
      <c r="EE104" s="9"/>
      <c r="EF104" s="9"/>
      <c r="EG104" s="9"/>
      <c r="EH104" s="9"/>
      <c r="EI104" s="9"/>
      <c r="EJ104" s="9"/>
      <c r="EK104" s="9"/>
      <c r="EL104" s="9"/>
      <c r="EM104" s="9"/>
      <c r="EN104" s="9"/>
      <c r="EO104" s="9"/>
      <c r="EP104" s="9"/>
      <c r="EQ104" s="9"/>
      <c r="ER104" s="9"/>
      <c r="ES104" s="9"/>
      <c r="ET104" s="9"/>
      <c r="EU104" s="9"/>
      <c r="EV104" s="9"/>
      <c r="EW104" s="9"/>
      <c r="EX104" s="9"/>
      <c r="EY104" s="9"/>
      <c r="EZ104" s="9"/>
      <c r="FA104" s="9"/>
      <c r="FB104" s="9"/>
      <c r="FC104" s="9"/>
      <c r="FD104" s="9"/>
      <c r="FE104" s="9"/>
      <c r="FF104" s="9"/>
      <c r="FG104" s="9"/>
      <c r="FH104" s="9"/>
      <c r="FI104" s="9"/>
      <c r="FJ104" s="9"/>
      <c r="FK104" s="9"/>
      <c r="FL104" s="9"/>
      <c r="FM104" s="9"/>
      <c r="FN104" s="9"/>
      <c r="FO104" s="9"/>
      <c r="FP104" s="9"/>
      <c r="FQ104" s="9"/>
      <c r="FR104" s="9"/>
      <c r="FS104" s="9"/>
      <c r="FT104" s="9"/>
      <c r="FU104" s="9"/>
      <c r="FV104" s="9"/>
      <c r="FW104" s="9"/>
      <c r="FX104" s="9"/>
      <c r="FY104" s="9"/>
      <c r="FZ104" s="9"/>
      <c r="GA104" s="9"/>
      <c r="GB104" s="9"/>
      <c r="GC104" s="9"/>
      <c r="GD104" s="9"/>
      <c r="GE104" s="9"/>
      <c r="GF104" s="9"/>
      <c r="GG104" s="9"/>
      <c r="GH104" s="9"/>
      <c r="GI104" s="9"/>
      <c r="GJ104" s="9"/>
      <c r="GK104" s="9"/>
      <c r="GL104" s="9"/>
      <c r="GM104" s="9"/>
      <c r="GN104" s="9"/>
      <c r="GO104" s="9"/>
      <c r="GP104" s="9"/>
      <c r="GQ104" s="9"/>
      <c r="GR104" s="9"/>
      <c r="GS104" s="9"/>
      <c r="GT104" s="9"/>
      <c r="GU104" s="9"/>
      <c r="GV104" s="9"/>
      <c r="GW104" s="9"/>
      <c r="GX104" s="9"/>
      <c r="GY104" s="9"/>
      <c r="GZ104" s="9"/>
      <c r="HA104" s="9"/>
      <c r="HB104" s="9"/>
      <c r="HC104" s="9"/>
      <c r="HD104" s="9"/>
      <c r="HE104" s="9"/>
      <c r="HF104" s="9"/>
      <c r="HG104" s="9"/>
      <c r="HH104" s="9"/>
      <c r="HI104" s="9"/>
      <c r="HJ104" s="9"/>
      <c r="HK104" s="9"/>
      <c r="HL104" s="9"/>
      <c r="HM104" s="9"/>
      <c r="HN104" s="9"/>
      <c r="HO104" s="9"/>
      <c r="HP104" s="9"/>
      <c r="HQ104" s="9"/>
      <c r="HR104" s="9"/>
      <c r="HS104" s="9"/>
      <c r="HT104" s="9"/>
      <c r="HU104" s="9"/>
      <c r="HV104" s="9"/>
      <c r="HW104" s="9"/>
      <c r="HX104" s="9"/>
      <c r="HY104" s="9"/>
      <c r="HZ104" s="9"/>
      <c r="IA104" s="9"/>
      <c r="IB104" s="9"/>
      <c r="IC104" s="9"/>
      <c r="ID104" s="9"/>
      <c r="IE104" s="9"/>
      <c r="IF104" s="9"/>
      <c r="IG104" s="9"/>
      <c r="IH104" s="9"/>
      <c r="II104" s="9"/>
      <c r="IJ104" s="9"/>
      <c r="IK104" s="9"/>
      <c r="IL104" s="9"/>
      <c r="IM104" s="9"/>
      <c r="IN104" s="9"/>
      <c r="IO104" s="9"/>
      <c r="IP104" s="9"/>
      <c r="IQ104" s="9"/>
      <c r="IR104" s="9"/>
      <c r="IS104" s="9"/>
      <c r="IT104" s="9"/>
      <c r="IU104" s="9"/>
      <c r="IV104" s="9"/>
      <c r="IW104" s="9"/>
      <c r="IX104" s="9"/>
      <c r="IY104" s="9"/>
      <c r="IZ104" s="9"/>
      <c r="JA104" s="9"/>
      <c r="JB104" s="9"/>
      <c r="JG104" s="89"/>
    </row>
    <row r="105" spans="1:267" x14ac:dyDescent="0.25">
      <c r="C105" s="75"/>
    </row>
    <row r="106" spans="1:267" x14ac:dyDescent="0.25">
      <c r="C106" s="75"/>
    </row>
    <row r="107" spans="1:267" x14ac:dyDescent="0.25">
      <c r="C107" s="75"/>
    </row>
    <row r="108" spans="1:267" x14ac:dyDescent="0.25">
      <c r="C108" s="75"/>
    </row>
    <row r="109" spans="1:267" x14ac:dyDescent="0.25">
      <c r="C109" s="75"/>
    </row>
    <row r="110" spans="1:267" x14ac:dyDescent="0.25">
      <c r="C110" s="75"/>
    </row>
    <row r="111" spans="1:267" x14ac:dyDescent="0.25">
      <c r="C111" s="75"/>
    </row>
    <row r="112" spans="1:267" x14ac:dyDescent="0.25">
      <c r="C112" s="75"/>
    </row>
    <row r="115" spans="3:3" x14ac:dyDescent="0.25">
      <c r="C115" s="75"/>
    </row>
    <row r="116" spans="3:3" x14ac:dyDescent="0.25">
      <c r="C116" s="75"/>
    </row>
    <row r="117" spans="3:3" x14ac:dyDescent="0.25">
      <c r="C117" s="75"/>
    </row>
    <row r="118" spans="3:3" x14ac:dyDescent="0.25">
      <c r="C118" s="75"/>
    </row>
    <row r="119" spans="3:3" x14ac:dyDescent="0.25">
      <c r="C119" s="75"/>
    </row>
    <row r="120" spans="3:3" x14ac:dyDescent="0.25">
      <c r="C120" s="75"/>
    </row>
    <row r="121" spans="3:3" x14ac:dyDescent="0.25">
      <c r="C121" s="75"/>
    </row>
    <row r="122" spans="3:3" x14ac:dyDescent="0.25">
      <c r="C122" s="75"/>
    </row>
    <row r="123" spans="3:3" x14ac:dyDescent="0.25">
      <c r="C123" s="75"/>
    </row>
    <row r="124" spans="3:3" x14ac:dyDescent="0.25">
      <c r="C124" s="75"/>
    </row>
    <row r="125" spans="3:3" x14ac:dyDescent="0.25">
      <c r="C125" s="75"/>
    </row>
    <row r="126" spans="3:3" x14ac:dyDescent="0.25">
      <c r="C126" s="75"/>
    </row>
    <row r="127" spans="3:3" x14ac:dyDescent="0.25">
      <c r="C127" s="75"/>
    </row>
    <row r="128" spans="3:3" x14ac:dyDescent="0.25">
      <c r="C128" s="75"/>
    </row>
    <row r="129" spans="3:3" x14ac:dyDescent="0.25">
      <c r="C129" s="75"/>
    </row>
    <row r="130" spans="3:3" x14ac:dyDescent="0.25">
      <c r="C130" s="75"/>
    </row>
    <row r="131" spans="3:3" x14ac:dyDescent="0.25">
      <c r="C131" s="75"/>
    </row>
    <row r="132" spans="3:3" x14ac:dyDescent="0.25">
      <c r="C132" s="75"/>
    </row>
    <row r="133" spans="3:3" x14ac:dyDescent="0.25">
      <c r="C133" s="75"/>
    </row>
    <row r="134" spans="3:3" x14ac:dyDescent="0.25">
      <c r="C134" s="75"/>
    </row>
    <row r="135" spans="3:3" x14ac:dyDescent="0.25">
      <c r="C135" s="75"/>
    </row>
    <row r="136" spans="3:3" x14ac:dyDescent="0.25">
      <c r="C136" s="75"/>
    </row>
    <row r="137" spans="3:3" x14ac:dyDescent="0.25">
      <c r="C137" s="75"/>
    </row>
    <row r="138" spans="3:3" x14ac:dyDescent="0.25">
      <c r="C138" s="75"/>
    </row>
    <row r="139" spans="3:3" x14ac:dyDescent="0.25">
      <c r="C139" s="75"/>
    </row>
    <row r="140" spans="3:3" x14ac:dyDescent="0.25">
      <c r="C140" s="75"/>
    </row>
  </sheetData>
  <sheetProtection formatCells="0" formatColumns="0" formatRows="0" insertRows="0" deleteRows="0"/>
  <autoFilter ref="A4:BU62" xr:uid="{00000000-0001-0000-0000-000000000000}"/>
  <mergeCells count="74">
    <mergeCell ref="IH1:IN1"/>
    <mergeCell ref="IH2:IN2"/>
    <mergeCell ref="IO1:IU1"/>
    <mergeCell ref="IO2:IU2"/>
    <mergeCell ref="IV1:JB1"/>
    <mergeCell ref="IV2:JB2"/>
    <mergeCell ref="HM1:HS1"/>
    <mergeCell ref="HM2:HS2"/>
    <mergeCell ref="HT1:HZ1"/>
    <mergeCell ref="HT2:HZ2"/>
    <mergeCell ref="IA1:IG1"/>
    <mergeCell ref="IA2:IG2"/>
    <mergeCell ref="GR1:GX1"/>
    <mergeCell ref="GR2:GX2"/>
    <mergeCell ref="GY1:HE1"/>
    <mergeCell ref="GY2:HE2"/>
    <mergeCell ref="HF1:HL1"/>
    <mergeCell ref="HF2:HL2"/>
    <mergeCell ref="FW1:GC1"/>
    <mergeCell ref="FW2:GC2"/>
    <mergeCell ref="GD1:GJ1"/>
    <mergeCell ref="GD2:GJ2"/>
    <mergeCell ref="GK1:GQ1"/>
    <mergeCell ref="GK2:GQ2"/>
    <mergeCell ref="FB1:FH1"/>
    <mergeCell ref="FB2:FH2"/>
    <mergeCell ref="FI1:FO1"/>
    <mergeCell ref="FI2:FO2"/>
    <mergeCell ref="FP1:FV1"/>
    <mergeCell ref="FP2:FV2"/>
    <mergeCell ref="EG1:EM1"/>
    <mergeCell ref="EG2:EM2"/>
    <mergeCell ref="EN1:ET1"/>
    <mergeCell ref="EN2:ET2"/>
    <mergeCell ref="EU1:FA1"/>
    <mergeCell ref="EU2:FA2"/>
    <mergeCell ref="DL1:DR1"/>
    <mergeCell ref="DL2:DR2"/>
    <mergeCell ref="DS1:DY1"/>
    <mergeCell ref="DS2:DY2"/>
    <mergeCell ref="DZ1:EF1"/>
    <mergeCell ref="DZ2:EF2"/>
    <mergeCell ref="CQ1:CW1"/>
    <mergeCell ref="CQ2:CW2"/>
    <mergeCell ref="CX1:DD1"/>
    <mergeCell ref="CX2:DD2"/>
    <mergeCell ref="DE1:DK1"/>
    <mergeCell ref="DE2:DK2"/>
    <mergeCell ref="BV1:CB1"/>
    <mergeCell ref="BV2:CB2"/>
    <mergeCell ref="CC1:CI1"/>
    <mergeCell ref="CC2:CI2"/>
    <mergeCell ref="CJ1:CP1"/>
    <mergeCell ref="CJ2:CP2"/>
    <mergeCell ref="D2:F2"/>
    <mergeCell ref="R1:X1"/>
    <mergeCell ref="K1:Q1"/>
    <mergeCell ref="D1:F1"/>
    <mergeCell ref="R2:X2"/>
    <mergeCell ref="K2:Q2"/>
    <mergeCell ref="BO1:BU1"/>
    <mergeCell ref="BO2:BU2"/>
    <mergeCell ref="Y1:AE1"/>
    <mergeCell ref="Y2:AE2"/>
    <mergeCell ref="AF1:AL1"/>
    <mergeCell ref="AF2:AL2"/>
    <mergeCell ref="BH1:BN1"/>
    <mergeCell ref="BH2:BN2"/>
    <mergeCell ref="AM2:AS2"/>
    <mergeCell ref="AT1:AZ1"/>
    <mergeCell ref="AT2:AZ2"/>
    <mergeCell ref="AM1:AS1"/>
    <mergeCell ref="BA1:BG1"/>
    <mergeCell ref="BA2:BG2"/>
  </mergeCells>
  <phoneticPr fontId="3" type="noConversion"/>
  <conditionalFormatting sqref="I5:I104">
    <cfRule type="dataBar" priority="16">
      <dataBar>
        <cfvo type="num" val="0"/>
        <cfvo type="num" val="1"/>
        <color theme="0" tint="-0.34998626667073579"/>
      </dataBar>
      <extLst>
        <ext xmlns:x14="http://schemas.microsoft.com/office/spreadsheetml/2009/9/main" uri="{B025F937-C7B1-47D3-B67F-A62EFF666E3E}">
          <x14:id>{0A58A75E-4698-465A-8593-F06B91A3A900}</x14:id>
        </ext>
      </extLst>
    </cfRule>
  </conditionalFormatting>
  <conditionalFormatting sqref="K3:JB4">
    <cfRule type="expression" dxfId="5" priority="59">
      <formula>K$3=TODAY()</formula>
    </cfRule>
  </conditionalFormatting>
  <conditionalFormatting sqref="C62 K66:JB104 C50 K5:JB63">
    <cfRule type="expression" dxfId="4" priority="62">
      <formula>AND($F5&lt;=C$3,ROUNDDOWN(($G5-$F5+1)*$I5,0)+$F5-1&gt;=C$3)</formula>
    </cfRule>
    <cfRule type="expression" dxfId="3" priority="63">
      <formula>AND(NOT(ISBLANK($F5)),$F5&lt;=C$3,$G5&gt;=C$3)</formula>
    </cfRule>
  </conditionalFormatting>
  <conditionalFormatting sqref="K3:JB104">
    <cfRule type="expression" dxfId="2" priority="22">
      <formula>K$3=TODAY()</formula>
    </cfRule>
  </conditionalFormatting>
  <conditionalFormatting sqref="C62">
    <cfRule type="expression" dxfId="1" priority="2">
      <formula>C$3=TODAY()</formula>
    </cfRule>
  </conditionalFormatting>
  <conditionalFormatting sqref="C50">
    <cfRule type="expression" dxfId="0" priority="1">
      <formula>C$3=TODAY()</formula>
    </cfRule>
  </conditionalFormatting>
  <dataValidations disablePrompts="1" count="1">
    <dataValidation allowBlank="1" showInputMessage="1" promptTitle="Display Week" prompt="Enter the week number to display first in the Gantt Chart. The weeks are numbered starting from the week containing the Project Start Date." sqref="I1" xr:uid="{00000000-0002-0000-0000-000000000000}"/>
  </dataValidations>
  <hyperlinks>
    <hyperlink ref="C32" r:id="rId1" xr:uid="{317BD2F3-F1D4-49AB-9881-8BF3D0D8FBD6}"/>
    <hyperlink ref="C34" r:id="rId2" xr:uid="{E52F2892-EECF-46F9-96DE-C6D64290B8E5}"/>
    <hyperlink ref="C36" r:id="rId3" xr:uid="{EC4CC763-F229-458E-A787-AA5C0D6138BD}"/>
    <hyperlink ref="C38" r:id="rId4" xr:uid="{CE34F567-52F1-4E89-BEAC-3388CE5C6DC8}"/>
    <hyperlink ref="C41" r:id="rId5" xr:uid="{21419D65-B564-41ED-B65B-8E7038DE6498}"/>
    <hyperlink ref="C42" r:id="rId6" xr:uid="{B1B6091C-7F02-4CC8-8601-6BF7EE572266}"/>
    <hyperlink ref="C39" r:id="rId7" xr:uid="{1DE3C7A4-C4A6-473C-BFA8-D927CDC20225}"/>
    <hyperlink ref="C12" r:id="rId8" xr:uid="{B13D99E3-C03E-412D-88EC-A97B85702BB4}"/>
    <hyperlink ref="C43" r:id="rId9" xr:uid="{43DCBCF8-EE2D-45D1-AD58-8B1AA2360AAB}"/>
    <hyperlink ref="C44" r:id="rId10" xr:uid="{D833DFC4-C124-4C1C-B2BC-774192D4A76C}"/>
  </hyperlinks>
  <pageMargins left="0.25" right="0.25" top="0.5" bottom="0.5" header="0.5" footer="0.25"/>
  <pageSetup scale="63" fitToHeight="0" orientation="landscape" r:id="rId11"/>
  <headerFooter alignWithMargins="0"/>
  <ignoredErrors>
    <ignoredError sqref="I6 C98 C100 C99 F26 F98:I100 H26:I26 H101 H102:H103 H104 A100 A98" unlockedFormula="1"/>
    <ignoredError sqref="A26" formula="1"/>
  </ignoredErrors>
  <drawing r:id="rId12"/>
  <legacyDrawing r:id="rId13"/>
  <extLst>
    <ext xmlns:x14="http://schemas.microsoft.com/office/spreadsheetml/2009/9/main" uri="{78C0D931-6437-407d-A8EE-F0AAD7539E65}">
      <x14:conditionalFormattings>
        <x14:conditionalFormatting xmlns:xm="http://schemas.microsoft.com/office/excel/2006/main">
          <x14:cfRule type="dataBar" id="{0A58A75E-4698-465A-8593-F06B91A3A900}">
            <x14:dataBar minLength="0" maxLength="100" gradient="0">
              <x14:cfvo type="num">
                <xm:f>0</xm:f>
              </x14:cfvo>
              <x14:cfvo type="num">
                <xm:f>1</xm:f>
              </x14:cfvo>
              <x14:negativeFillColor rgb="FFFF0000"/>
              <x14:axisColor rgb="FF000000"/>
            </x14:dataBar>
          </x14:cfRule>
          <xm:sqref>I5:I104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GanttChart</vt:lpstr>
      <vt:lpstr>GanttChart!prevWBS</vt:lpstr>
      <vt:lpstr>GanttChart!Print_Area</vt:lpstr>
      <vt:lpstr>GanttChart!Print_Titles</vt:lpstr>
    </vt:vector>
  </TitlesOfParts>
  <Company>Vertex42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Chart Template</dc:title>
  <dc:creator>Vertex42.com</dc:creator>
  <dc:description>(c) 2006-2018 Vertex42 LLC. All Rights Reserved.</dc:description>
  <cp:lastModifiedBy>Siva Naga Babu</cp:lastModifiedBy>
  <cp:lastPrinted>2018-02-12T20:25:38Z</cp:lastPrinted>
  <dcterms:created xsi:type="dcterms:W3CDTF">2010-06-09T16:05:03Z</dcterms:created>
  <dcterms:modified xsi:type="dcterms:W3CDTF">2024-06-28T06:14:14Z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2018 Vertex42 LLC</vt:lpwstr>
  </property>
  <property fmtid="{D5CDD505-2E9C-101B-9397-08002B2CF9AE}" pid="3" name="Version">
    <vt:lpwstr>3.1.1</vt:lpwstr>
  </property>
  <property fmtid="{D5CDD505-2E9C-101B-9397-08002B2CF9AE}" pid="4" name="Source">
    <vt:lpwstr>https://www.vertex42.com/ExcelTemplates/excel-gantt-chart.html</vt:lpwstr>
  </property>
</Properties>
</file>