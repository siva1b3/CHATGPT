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E757BCB4-07E6-AE0B-56E0-F0EEF7A6E26C}"/>
  <workbookPr codeName="ThisWorkbook"/>
  <mc:AlternateContent xmlns:mc="http://schemas.openxmlformats.org/markup-compatibility/2006">
    <mc:Choice Requires="x15">
      <x15ac:absPath xmlns:x15ac="http://schemas.microsoft.com/office/spreadsheetml/2010/11/ac" url="C:\Users\siva\Pictures\A webdev\CHATGPT\"/>
    </mc:Choice>
  </mc:AlternateContent>
  <xr:revisionPtr revIDLastSave="0" documentId="13_ncr:1_{DA714A7D-6E75-48DC-8E32-CF8DDC20E5D6}" xr6:coauthVersionLast="47" xr6:coauthVersionMax="47" xr10:uidLastSave="{00000000-0000-0000-0000-000000000000}"/>
  <bookViews>
    <workbookView xWindow="-108" yWindow="-108" windowWidth="23256" windowHeight="12456" xr2:uid="{00000000-000D-0000-FFFF-FFFF00000000}"/>
  </bookViews>
  <sheets>
    <sheet name="GanttChart" sheetId="9" r:id="rId1"/>
  </sheets>
  <functionGroups builtInGroupCount="19"/>
  <definedNames>
    <definedName name="_xlnm._FilterDatabase" localSheetId="0" hidden="1">GanttChart!$A$5:$CH$55</definedName>
    <definedName name="prevWBS" localSheetId="0">GanttChart!$A1048576</definedName>
    <definedName name="_xlnm.Print_Area" localSheetId="0">GanttChart!$A$1:$BO$91</definedName>
    <definedName name="_xlnm.Print_Titles" localSheetId="0">GanttChart!$2:$5</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41" i="9" l="1"/>
  <c r="J41" i="9" s="1"/>
  <c r="G40" i="9"/>
  <c r="J40" i="9" s="1"/>
  <c r="G22" i="9"/>
  <c r="J22" i="9" s="1"/>
  <c r="G16" i="9"/>
  <c r="J16" i="9" s="1"/>
  <c r="G17" i="9"/>
  <c r="J17" i="9" s="1"/>
  <c r="G18" i="9"/>
  <c r="J18" i="9" s="1"/>
  <c r="G15" i="9"/>
  <c r="J15" i="9" s="1"/>
  <c r="G14" i="9"/>
  <c r="J14" i="9" s="1"/>
  <c r="G13" i="9"/>
  <c r="J13" i="9" s="1"/>
  <c r="G12" i="9"/>
  <c r="J12" i="9" s="1"/>
  <c r="B14" i="9" a="1"/>
  <c r="B40" i="9" a="1"/>
  <c r="B12" i="9" a="1"/>
  <c r="B15" i="9" a="1"/>
  <c r="B18" i="9" a="1"/>
  <c r="B41" i="9" a="1"/>
  <c r="B16" i="9" a="1"/>
  <c r="B13" i="9" a="1"/>
  <c r="B52" i="9" a="1"/>
  <c r="B54" i="9" a="1"/>
  <c r="B22" i="9" a="1"/>
  <c r="B17" i="9" a="1"/>
  <c r="B41" i="9" l="1"/>
  <c r="B40" i="9"/>
  <c r="B22" i="9"/>
  <c r="B16" i="9"/>
  <c r="B17" i="9"/>
  <c r="B18" i="9"/>
  <c r="B15" i="9"/>
  <c r="B14" i="9"/>
  <c r="B13" i="9"/>
  <c r="B12" i="9"/>
  <c r="B54" i="9"/>
  <c r="B52" i="9"/>
  <c r="G52" i="9"/>
  <c r="J52" i="9" s="1"/>
  <c r="G53" i="9"/>
  <c r="J53" i="9" s="1"/>
  <c r="G21" i="9"/>
  <c r="J21" i="9" s="1"/>
  <c r="G20" i="9"/>
  <c r="J20" i="9" s="1"/>
  <c r="G19" i="9"/>
  <c r="J19" i="9" s="1"/>
  <c r="G6" i="9"/>
  <c r="J6" i="9" s="1"/>
  <c r="G7" i="9"/>
  <c r="J7" i="9" s="1"/>
  <c r="G23" i="9"/>
  <c r="J23" i="9" s="1"/>
  <c r="G24" i="9"/>
  <c r="J24" i="9" s="1"/>
  <c r="G27" i="9"/>
  <c r="J27" i="9" s="1"/>
  <c r="G29" i="9"/>
  <c r="J29" i="9" s="1"/>
  <c r="G30" i="9"/>
  <c r="J30" i="9" s="1"/>
  <c r="G31" i="9"/>
  <c r="J31" i="9" s="1"/>
  <c r="G32" i="9"/>
  <c r="J32" i="9" s="1"/>
  <c r="G33" i="9"/>
  <c r="J33" i="9" s="1"/>
  <c r="G34" i="9"/>
  <c r="J34" i="9" s="1"/>
  <c r="G35" i="9"/>
  <c r="J35" i="9" s="1"/>
  <c r="G36" i="9"/>
  <c r="J36" i="9" s="1"/>
  <c r="G37" i="9"/>
  <c r="J37" i="9" s="1"/>
  <c r="G38" i="9"/>
  <c r="J38" i="9" s="1"/>
  <c r="G39" i="9"/>
  <c r="J39" i="9" s="1"/>
  <c r="G42" i="9"/>
  <c r="J42" i="9" s="1"/>
  <c r="G43" i="9"/>
  <c r="J43" i="9" s="1"/>
  <c r="G44" i="9"/>
  <c r="J44" i="9" s="1"/>
  <c r="G45" i="9"/>
  <c r="J45" i="9" s="1"/>
  <c r="G46" i="9"/>
  <c r="J46" i="9" s="1"/>
  <c r="G47" i="9"/>
  <c r="J47" i="9" s="1"/>
  <c r="G48" i="9"/>
  <c r="J48" i="9" s="1"/>
  <c r="G49" i="9"/>
  <c r="J49" i="9" s="1"/>
  <c r="G50" i="9"/>
  <c r="J50" i="9" s="1"/>
  <c r="G51" i="9"/>
  <c r="J51" i="9" s="1"/>
  <c r="J91" i="9"/>
  <c r="G94" i="9"/>
  <c r="J94" i="9" s="1"/>
  <c r="G95" i="9"/>
  <c r="J95" i="9" s="1"/>
  <c r="G96" i="9"/>
  <c r="J96" i="9" s="1"/>
  <c r="G97" i="9"/>
  <c r="J97" i="9" s="1"/>
  <c r="B23" i="9" a="1"/>
  <c r="B26" i="9" a="1"/>
  <c r="B38" i="9" a="1"/>
  <c r="B24" i="9" a="1"/>
  <c r="B30" i="9" a="1"/>
  <c r="B28" i="9" a="1"/>
  <c r="B47" i="9" a="1"/>
  <c r="B55" i="9" a="1"/>
  <c r="B34" i="9" a="1"/>
  <c r="B51" i="9" a="1"/>
  <c r="B53" i="9" a="1"/>
  <c r="B29" i="9" a="1"/>
  <c r="B25" i="9" a="1"/>
  <c r="B42" i="9" a="1"/>
  <c r="B7" i="9" a="1"/>
  <c r="B45" i="9" a="1"/>
  <c r="B37" i="9" a="1"/>
  <c r="B20" i="9" a="1"/>
  <c r="B48" i="9" a="1"/>
  <c r="B33" i="9" a="1"/>
  <c r="B27" i="9" a="1"/>
  <c r="B10" i="9" a="1"/>
  <c r="B39" i="9" a="1"/>
  <c r="B50" i="9" a="1"/>
  <c r="B43" i="9" a="1"/>
  <c r="B35" i="9" a="1"/>
  <c r="B11" i="9" a="1"/>
  <c r="B31" i="9" a="1"/>
  <c r="B32" i="9" a="1"/>
  <c r="B8" i="9" a="1"/>
  <c r="B9" i="9" a="1"/>
  <c r="B19" i="9" a="1"/>
  <c r="B36" i="9" a="1"/>
  <c r="B44" i="9" a="1"/>
  <c r="B21" i="9" a="1"/>
  <c r="B46" i="9" a="1"/>
  <c r="B49" i="9" a="1"/>
  <c r="B6" i="9" a="1"/>
  <c r="B53" i="9" l="1"/>
  <c r="B39" i="9"/>
  <c r="B48" i="9"/>
  <c r="B44" i="9"/>
  <c r="B38" i="9"/>
  <c r="B34" i="9"/>
  <c r="B30" i="9"/>
  <c r="B26" i="9"/>
  <c r="B21" i="9"/>
  <c r="B10" i="9"/>
  <c r="B35" i="9"/>
  <c r="B51" i="9"/>
  <c r="B47" i="9"/>
  <c r="B43" i="9"/>
  <c r="B37" i="9"/>
  <c r="B33" i="9"/>
  <c r="B29" i="9"/>
  <c r="B25" i="9"/>
  <c r="B9" i="9"/>
  <c r="B45" i="9"/>
  <c r="B20" i="9"/>
  <c r="B19" i="9"/>
  <c r="B31" i="9"/>
  <c r="B55" i="9"/>
  <c r="B50" i="9"/>
  <c r="B46" i="9"/>
  <c r="B42" i="9"/>
  <c r="B36" i="9"/>
  <c r="B32" i="9"/>
  <c r="B28" i="9"/>
  <c r="B24" i="9"/>
  <c r="B8" i="9"/>
  <c r="B49" i="9"/>
  <c r="B27" i="9"/>
  <c r="B23" i="9"/>
  <c r="B11" i="9"/>
  <c r="B7" i="9"/>
  <c r="B6" i="9"/>
  <c r="L4" i="9"/>
  <c r="L5" i="9" l="1"/>
  <c r="L2" i="9"/>
  <c r="A6" i="9"/>
  <c r="A7" i="9" s="1"/>
  <c r="A8" i="9" s="1"/>
  <c r="A9" i="9" s="1"/>
  <c r="A10" i="9" s="1"/>
  <c r="A94" i="9"/>
  <c r="A95" i="9" s="1"/>
  <c r="A96" i="9" s="1"/>
  <c r="A97" i="9" s="1"/>
  <c r="M4" i="9" l="1"/>
  <c r="N4" i="9" l="1"/>
  <c r="O4" i="9" l="1"/>
  <c r="P4" i="9" l="1"/>
  <c r="L3" i="9"/>
  <c r="Q4" i="9" l="1"/>
  <c r="M5" i="9"/>
  <c r="R4" i="9" l="1"/>
  <c r="N5" i="9"/>
  <c r="S4" i="9" l="1"/>
  <c r="O5" i="9"/>
  <c r="T4" i="9" l="1"/>
  <c r="P5" i="9"/>
  <c r="U4" i="9" l="1"/>
  <c r="Q5" i="9"/>
  <c r="V4" i="9" l="1"/>
  <c r="R5" i="9"/>
  <c r="W4" i="9" l="1"/>
  <c r="S5" i="9"/>
  <c r="S3" i="9"/>
  <c r="S2" i="9"/>
  <c r="X4" i="9" l="1"/>
  <c r="T5" i="9"/>
  <c r="Y4" i="9" l="1"/>
  <c r="U5" i="9"/>
  <c r="Z4" i="9" l="1"/>
  <c r="V5" i="9"/>
  <c r="AA4" i="9" l="1"/>
  <c r="W5" i="9"/>
  <c r="AB4" i="9" l="1"/>
  <c r="Y5" i="9"/>
  <c r="X5" i="9"/>
  <c r="AC4" i="9" l="1"/>
  <c r="Z3" i="9"/>
  <c r="Z2" i="9"/>
  <c r="Z5" i="9"/>
  <c r="AD4" i="9" l="1"/>
  <c r="AA5" i="9"/>
  <c r="AE4" i="9" l="1"/>
  <c r="AB5" i="9"/>
  <c r="AF4" i="9" l="1"/>
  <c r="AC5" i="9"/>
  <c r="AG4" i="9" l="1"/>
  <c r="AD5" i="9"/>
  <c r="AH4" i="9" l="1"/>
  <c r="AE5" i="9"/>
  <c r="AI4" i="9" l="1"/>
  <c r="AF5" i="9"/>
  <c r="AJ4" i="9" l="1"/>
  <c r="AG2" i="9"/>
  <c r="AG5" i="9"/>
  <c r="AG3" i="9"/>
  <c r="AK4" i="9" l="1"/>
  <c r="AH5" i="9"/>
  <c r="AL4" i="9" l="1"/>
  <c r="AI5" i="9"/>
  <c r="AM4" i="9" l="1"/>
  <c r="AJ5" i="9"/>
  <c r="AN4" i="9" l="1"/>
  <c r="AK5" i="9"/>
  <c r="AO4" i="9" l="1"/>
  <c r="AP4" i="9" s="1"/>
  <c r="AP5" i="9" s="1"/>
  <c r="AL5" i="9"/>
  <c r="AM5" i="9" l="1"/>
  <c r="AQ4" i="9" l="1"/>
  <c r="AN5" i="9"/>
  <c r="AN3" i="9"/>
  <c r="AN2" i="9"/>
  <c r="AR4" i="9" l="1"/>
  <c r="AO5" i="9"/>
  <c r="AS4" i="9" l="1"/>
  <c r="AT4" i="9" l="1"/>
  <c r="AQ5" i="9"/>
  <c r="AU4" i="9" l="1"/>
  <c r="AR5" i="9"/>
  <c r="AV4" i="9" l="1"/>
  <c r="AS5" i="9"/>
  <c r="AW4" i="9" l="1"/>
  <c r="AT5" i="9"/>
  <c r="AX4" i="9" l="1"/>
  <c r="AU5" i="9"/>
  <c r="AU3" i="9"/>
  <c r="AU2" i="9"/>
  <c r="AY4" i="9" l="1"/>
  <c r="AV5" i="9"/>
  <c r="AZ4" i="9" l="1"/>
  <c r="AW5" i="9"/>
  <c r="BA4" i="9" l="1"/>
  <c r="AX5" i="9"/>
  <c r="BB4" i="9" l="1"/>
  <c r="AY5" i="9"/>
  <c r="BC4" i="9" l="1"/>
  <c r="AZ5" i="9"/>
  <c r="BD4" i="9" l="1"/>
  <c r="BA5" i="9"/>
  <c r="BE4" i="9" l="1"/>
  <c r="BB3" i="9"/>
  <c r="BB2" i="9"/>
  <c r="BB5" i="9"/>
  <c r="BF4" i="9" l="1"/>
  <c r="BC5" i="9"/>
  <c r="BG4" i="9" l="1"/>
  <c r="BD5" i="9"/>
  <c r="BH4" i="9" l="1"/>
  <c r="BE5" i="9"/>
  <c r="BI4" i="9" l="1"/>
  <c r="BF5" i="9"/>
  <c r="BJ4" i="9" l="1"/>
  <c r="BG5" i="9"/>
  <c r="BK4" i="9" l="1"/>
  <c r="BH5" i="9"/>
  <c r="BL4" i="9" l="1"/>
  <c r="BI2" i="9"/>
  <c r="BI5" i="9"/>
  <c r="BI3" i="9"/>
  <c r="BM4" i="9" l="1"/>
  <c r="BJ5" i="9"/>
  <c r="BN4" i="9" l="1"/>
  <c r="BK5" i="9"/>
  <c r="BO4" i="9" l="1"/>
  <c r="BP4" i="9" s="1"/>
  <c r="BL5" i="9"/>
  <c r="BP5" i="9" l="1"/>
  <c r="BP2" i="9"/>
  <c r="BQ4" i="9"/>
  <c r="BP3" i="9"/>
  <c r="BM5" i="9"/>
  <c r="BR4" i="9" l="1"/>
  <c r="BQ5" i="9"/>
  <c r="BN5" i="9"/>
  <c r="BS4" i="9" l="1"/>
  <c r="BR5" i="9"/>
  <c r="BO5" i="9"/>
  <c r="BT4" i="9" l="1"/>
  <c r="BS5" i="9"/>
  <c r="BT5" i="9" l="1"/>
  <c r="BU4" i="9"/>
  <c r="BU5" i="9" l="1"/>
  <c r="BV4" i="9"/>
  <c r="A11" i="9" l="1"/>
  <c r="A12" i="9" s="1"/>
  <c r="A13" i="9" s="1"/>
  <c r="A14" i="9" s="1"/>
  <c r="A15" i="9" s="1"/>
  <c r="BW4" i="9"/>
  <c r="BV5" i="9"/>
  <c r="A16" i="9" l="1"/>
  <c r="A17" i="9" s="1"/>
  <c r="A18" i="9" s="1"/>
  <c r="BW5" i="9"/>
  <c r="BW2" i="9"/>
  <c r="BX4" i="9"/>
  <c r="BW3" i="9"/>
  <c r="BX5" i="9" l="1"/>
  <c r="BY4" i="9"/>
  <c r="BZ4" i="9" l="1"/>
  <c r="BY5" i="9"/>
  <c r="CA4" i="9" l="1"/>
  <c r="BZ5" i="9"/>
  <c r="CB4" i="9" l="1"/>
  <c r="CA5" i="9"/>
  <c r="CC4" i="9" l="1"/>
  <c r="CC5" i="9" s="1"/>
  <c r="CB5" i="9"/>
  <c r="A19" i="9"/>
  <c r="A20" i="9" s="1"/>
  <c r="A21" i="9" s="1"/>
  <c r="A22" i="9" l="1"/>
  <c r="A23" i="9" s="1"/>
  <c r="A24" i="9" s="1"/>
  <c r="A25" i="9" s="1"/>
  <c r="A26" i="9" s="1"/>
  <c r="A27" i="9" s="1"/>
  <c r="A28" i="9" s="1"/>
  <c r="A29" i="9" s="1"/>
  <c r="A30" i="9" s="1"/>
  <c r="A31" i="9" s="1"/>
  <c r="A32" i="9" s="1"/>
  <c r="A33" i="9" s="1"/>
  <c r="A34" i="9" s="1"/>
  <c r="A35" i="9" s="1"/>
  <c r="A36" i="9" s="1"/>
  <c r="A37" i="9" s="1"/>
  <c r="A38" i="9" s="1"/>
  <c r="A39" i="9" s="1"/>
  <c r="A40" i="9" l="1"/>
  <c r="A41" i="9" l="1"/>
  <c r="A42" i="9" s="1"/>
  <c r="A43" i="9" s="1"/>
  <c r="A44" i="9" s="1"/>
  <c r="A45" i="9" s="1"/>
  <c r="A46" i="9" s="1"/>
  <c r="A47" i="9" s="1"/>
  <c r="A48" i="9" s="1"/>
  <c r="A49" i="9" s="1"/>
  <c r="A50" i="9" s="1"/>
  <c r="A51" i="9" s="1"/>
  <c r="A52" i="9" s="1"/>
  <c r="A53" i="9" s="1"/>
  <c r="A54" i="9" s="1"/>
  <c r="A5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5" authorId="0" shapeId="0" xr:uid="{00000000-0006-0000-00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C5" authorId="0" shapeId="0" xr:uid="{00000000-0006-0000-0000-000002000000}">
      <text>
        <r>
          <rPr>
            <b/>
            <sz val="9"/>
            <color indexed="81"/>
            <rFont val="Tahoma"/>
            <family val="2"/>
          </rPr>
          <t>Task Description</t>
        </r>
        <r>
          <rPr>
            <sz val="9"/>
            <color indexed="81"/>
            <rFont val="Tahoma"/>
            <family val="2"/>
          </rPr>
          <t xml:space="preserve">
Enter the name of each task and sub-task. Use indents for sub-tasks.</t>
        </r>
      </text>
    </comment>
    <comment ref="K5" authorId="0" shapeId="0" xr:uid="{00000000-0006-0000-0000-000003000000}">
      <text>
        <r>
          <rPr>
            <b/>
            <sz val="9"/>
            <color indexed="81"/>
            <rFont val="Tahoma"/>
            <family val="2"/>
          </rPr>
          <t>Task Lead</t>
        </r>
        <r>
          <rPr>
            <sz val="9"/>
            <color indexed="81"/>
            <rFont val="Tahoma"/>
            <family val="2"/>
          </rPr>
          <t xml:space="preserve">
Enter the name of the Task Lead in this column.</t>
        </r>
      </text>
    </comment>
    <comment ref="L5" authorId="0" shapeId="0" xr:uid="{00000000-0006-0000-0000-000004000000}">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M5" authorId="0" shapeId="0" xr:uid="{00000000-0006-0000-0000-000005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N5" authorId="1" shapeId="0" xr:uid="{00000000-0006-0000-0000-000006000000}">
      <text>
        <r>
          <rPr>
            <b/>
            <sz val="9"/>
            <color indexed="81"/>
            <rFont val="Tahoma"/>
            <family val="2"/>
          </rPr>
          <t>End Date:</t>
        </r>
        <r>
          <rPr>
            <sz val="9"/>
            <color indexed="81"/>
            <rFont val="Tahoma"/>
            <family val="2"/>
          </rPr>
          <t xml:space="preserve">
The End Date is calculated based on the Start Date and the Calendar Days columns.</t>
        </r>
      </text>
    </comment>
    <comment ref="O5" authorId="0" shapeId="0" xr:uid="{00000000-0006-0000-0000-000007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P5" authorId="0" shapeId="0" xr:uid="{00000000-0006-0000-0000-000008000000}">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Q5" authorId="0" shapeId="0" xr:uid="{00000000-0006-0000-0000-000009000000}">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<sst xmlns="http://schemas.openxmlformats.org/spreadsheetml/2006/main" count="75" uniqueCount="68">
  <si>
    <t>WBS</t>
  </si>
  <si>
    <t>[Project Name] Project Schedule</t>
  </si>
  <si>
    <t>TEMPLATE ROWS</t>
  </si>
  <si>
    <t>[Task Category]</t>
  </si>
  <si>
    <t>[Task]</t>
  </si>
  <si>
    <t>[Name]</t>
  </si>
  <si>
    <t>See the Help worksheet to learn how to use these rows. You can hide these rows before printing.</t>
  </si>
  <si>
    <t xml:space="preserve"> . [ Level 2 Task ]</t>
  </si>
  <si>
    <t xml:space="preserve"> . . [ Level 3 Task ]</t>
  </si>
  <si>
    <t xml:space="preserve"> . . . [ Level 4 Task ]</t>
  </si>
  <si>
    <t>TASK</t>
  </si>
  <si>
    <t>LEAD</t>
  </si>
  <si>
    <t>START</t>
  </si>
  <si>
    <t>END</t>
  </si>
  <si>
    <t>DAYS</t>
  </si>
  <si>
    <t>% DONE</t>
  </si>
  <si>
    <t>WORK DAYS</t>
  </si>
  <si>
    <t>PREDECESSOR</t>
  </si>
  <si>
    <t xml:space="preserve">Display Week </t>
  </si>
  <si>
    <t xml:space="preserve">Project Start Date </t>
  </si>
  <si>
    <t xml:space="preserve">Project Lead </t>
  </si>
  <si>
    <t>[ Level 1 Task or Phase ]</t>
  </si>
  <si>
    <r>
      <rPr>
        <i/>
        <u/>
        <sz val="8"/>
        <color theme="1" tint="0.34998626667073579"/>
        <rFont val="Arial"/>
        <family val="2"/>
      </rPr>
      <t>Gantt Chart Template</t>
    </r>
    <r>
      <rPr>
        <i/>
        <sz val="8"/>
        <color theme="1" tint="0.34998626667073579"/>
        <rFont val="Arial"/>
        <family val="2"/>
      </rPr>
      <t xml:space="preserve"> © 2006-2018 by Vertex42.com.</t>
    </r>
  </si>
  <si>
    <t>Pw Skills</t>
  </si>
  <si>
    <t>HTML</t>
  </si>
  <si>
    <t>CSS</t>
  </si>
  <si>
    <t>JS</t>
  </si>
  <si>
    <t>Video - Media Forms, Modren Html, seo</t>
  </si>
  <si>
    <t>Video</t>
  </si>
  <si>
    <t>Practice</t>
  </si>
  <si>
    <t>Practice -</t>
  </si>
  <si>
    <t xml:space="preserve">Video - </t>
  </si>
  <si>
    <t>Youtube Clone JS Mastery</t>
  </si>
  <si>
    <t>Practice - Navbar basic setup</t>
  </si>
  <si>
    <t>Practice - SideBar basic Setup</t>
  </si>
  <si>
    <t>Generative AI in a Nutshell - how to survive and thrive in the age of AI</t>
  </si>
  <si>
    <t>Video - css Basics</t>
  </si>
  <si>
    <t>[ Level 1 Task or Phase ] Example</t>
  </si>
  <si>
    <t xml:space="preserve"> . [ Level 2 Task ] Example</t>
  </si>
  <si>
    <t xml:space="preserve"> . . [ Level 3 Task ] Example</t>
  </si>
  <si>
    <t xml:space="preserve"> . . . [ Level 4 Task ] Example</t>
  </si>
  <si>
    <t>How the Way You Respond to Boredom Changes Your Life</t>
  </si>
  <si>
    <t>How to Master React in 2024 - The React Roadmap</t>
  </si>
  <si>
    <t>Theory Youtube videos</t>
  </si>
  <si>
    <t>Theory AI</t>
  </si>
  <si>
    <t>Theory Life</t>
  </si>
  <si>
    <t>Theory WebDev</t>
  </si>
  <si>
    <t>Practice Projects Youtube</t>
  </si>
  <si>
    <t>Theory Job</t>
  </si>
  <si>
    <t>These Mistakes Can End Your Career As A Software Developer!</t>
  </si>
  <si>
    <t>Theory Deployment</t>
  </si>
  <si>
    <t>Docker in 100 Seconds</t>
  </si>
  <si>
    <t>Never install locally - Coderized</t>
  </si>
  <si>
    <t>Reality of IT Industry | Layoffs | Career after 40 | Anand Vaishampayan | Hemant Pant GIGL</t>
  </si>
  <si>
    <t>Udemy</t>
  </si>
  <si>
    <t>React - The Complete Guide</t>
  </si>
  <si>
    <t>Getting started</t>
  </si>
  <si>
    <t xml:space="preserve"> . . . .[ Level 5 Task ] Example</t>
  </si>
  <si>
    <t>Youtube courses</t>
  </si>
  <si>
    <t>TypeScript Full Course for Beginners</t>
  </si>
  <si>
    <t>Video - Start here Ts</t>
  </si>
  <si>
    <t>Video - Basic types</t>
  </si>
  <si>
    <t xml:space="preserve">Video - Arrays and objects </t>
  </si>
  <si>
    <t>Video - functions</t>
  </si>
  <si>
    <t>Video - assertions</t>
  </si>
  <si>
    <t>Angular course</t>
  </si>
  <si>
    <t>100+ Docker Concepts you Need to Know</t>
  </si>
  <si>
    <t>Always code inside containers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</si>
</sst>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dddd\)"/>
    <numFmt numFmtId="165" formatCode="ddd\ m/dd/yy"/>
    <numFmt numFmtId="166" formatCode="d"/>
    <numFmt numFmtId="167" formatCode="d\ mmm\ yyyy"/>
  </numFmts>
  <fonts count="49" x14ac:knownFonts="1">
    <font>
      <sz val="10"/>
      <name val="Arial"/>
    </font>
    <font>
      <sz val="10"/>
      <name val="Arial"/>
      <family val="2"/>
    </font>
    <font>
      <u/>
      <sz val="10"/>
      <color indexed="12"/>
      <name val="Arial"/>
      <family val="2"/>
    </font>
    <font>
      <sz val="8"/>
      <name val="Arial"/>
      <family val="2"/>
    </font>
    <font>
      <sz val="10"/>
      <name val="Arial"/>
      <family val="2"/>
    </font>
    <font>
      <sz val="14"/>
      <color indexed="56"/>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Arial"/>
      <family val="2"/>
      <scheme val="minor"/>
    </font>
    <font>
      <sz val="10"/>
      <name val="Arial"/>
      <family val="1"/>
      <scheme val="major"/>
    </font>
    <font>
      <sz val="10"/>
      <name val="Arial"/>
      <family val="2"/>
      <scheme val="minor"/>
    </font>
    <font>
      <b/>
      <sz val="11"/>
      <name val="Arial"/>
      <family val="2"/>
      <scheme val="minor"/>
    </font>
    <font>
      <sz val="9"/>
      <color rgb="FF000000"/>
      <name val="Arial"/>
      <family val="2"/>
      <scheme val="minor"/>
    </font>
    <font>
      <i/>
      <sz val="9"/>
      <name val="Arial"/>
      <family val="2"/>
      <scheme val="minor"/>
    </font>
    <font>
      <b/>
      <sz val="10"/>
      <color rgb="FF000000"/>
      <name val="Arial"/>
      <family val="2"/>
      <scheme val="minor"/>
    </font>
    <font>
      <sz val="10"/>
      <color rgb="FF000000"/>
      <name val="Arial"/>
      <family val="2"/>
      <scheme val="minor"/>
    </font>
    <font>
      <sz val="8"/>
      <name val="Arial"/>
      <family val="2"/>
      <scheme val="minor"/>
    </font>
    <font>
      <sz val="11"/>
      <name val="Arial"/>
      <family val="2"/>
      <scheme val="minor"/>
    </font>
    <font>
      <sz val="14"/>
      <name val="Arial"/>
      <family val="2"/>
      <scheme val="minor"/>
    </font>
    <font>
      <sz val="14"/>
      <color rgb="FF000000"/>
      <name val="Arial"/>
      <family val="2"/>
      <scheme val="minor"/>
    </font>
    <font>
      <sz val="10"/>
      <name val="Arial"/>
      <family val="2"/>
      <scheme val="major"/>
    </font>
    <font>
      <b/>
      <sz val="9"/>
      <name val="Arial"/>
      <family val="2"/>
      <scheme val="major"/>
    </font>
    <font>
      <b/>
      <sz val="8"/>
      <name val="Arial"/>
      <family val="2"/>
      <scheme val="major"/>
    </font>
    <font>
      <sz val="16"/>
      <color theme="4" tint="-0.249977111117893"/>
      <name val="Arial"/>
      <family val="1"/>
      <scheme val="major"/>
    </font>
    <font>
      <b/>
      <sz val="11"/>
      <color rgb="FF000000"/>
      <name val="Arial"/>
      <family val="2"/>
      <scheme val="minor"/>
    </font>
    <font>
      <i/>
      <sz val="8"/>
      <color theme="1" tint="0.34998626667073579"/>
      <name val="Arial"/>
      <family val="2"/>
    </font>
    <font>
      <i/>
      <u/>
      <sz val="8"/>
      <color theme="1" tint="0.34998626667073579"/>
      <name val="Arial"/>
      <family val="2"/>
    </font>
    <font>
      <sz val="10"/>
      <color rgb="FF002060"/>
      <name val="Arial"/>
      <family val="2"/>
    </font>
    <font>
      <i/>
      <u/>
      <sz val="10"/>
      <color indexed="12"/>
      <name val="Arial"/>
      <family val="2"/>
    </font>
    <font>
      <b/>
      <sz val="10"/>
      <color rgb="FFFF0000"/>
      <name val="Aptos"/>
      <family val="2"/>
    </font>
  </fonts>
  <fills count="31">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rgb="FFFFFFFF"/>
        <bgColor rgb="FFFFFFFF"/>
      </patternFill>
    </fill>
    <fill>
      <patternFill patternType="solid">
        <fgColor theme="0" tint="-0.14999847407452621"/>
        <bgColor rgb="FFD9D9D9"/>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rgb="FFFFFF00"/>
        <bgColor indexed="64"/>
      </patternFill>
    </fill>
    <fill>
      <patternFill patternType="solid">
        <fgColor theme="3"/>
        <bgColor indexed="64"/>
      </patternFill>
    </fill>
    <fill>
      <patternFill patternType="solid">
        <fgColor rgb="FFFFC00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7F7B9"/>
        <bgColor indexed="64"/>
      </patternFill>
    </fill>
  </fills>
  <borders count="3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bottom style="thin">
        <color rgb="FFEFEFEF"/>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right/>
      <top style="thin">
        <color indexed="22"/>
      </top>
      <bottom style="double">
        <color rgb="FFFF0000"/>
      </bottom>
      <diagonal/>
    </border>
    <border>
      <left/>
      <right style="thick">
        <color rgb="FFFF0000"/>
      </right>
      <top/>
      <bottom/>
      <diagonal/>
    </border>
    <border>
      <left/>
      <right style="thick">
        <color rgb="FFFF0000"/>
      </right>
      <top style="thin">
        <color indexed="22"/>
      </top>
      <bottom style="thin">
        <color indexed="22"/>
      </bottom>
      <diagonal/>
    </border>
    <border>
      <left/>
      <right style="thick">
        <color rgb="FFFF0000"/>
      </right>
      <top style="thin">
        <color indexed="22"/>
      </top>
      <bottom style="double">
        <color rgb="FFFF0000"/>
      </bottom>
      <diagonal/>
    </border>
    <border>
      <left/>
      <right/>
      <top style="thin">
        <color indexed="22"/>
      </top>
      <bottom/>
      <diagonal/>
    </border>
    <border>
      <left/>
      <right style="thick">
        <color rgb="FFFF0000"/>
      </right>
      <top style="thin">
        <color indexed="22"/>
      </top>
      <bottom/>
      <diagonal/>
    </border>
    <border>
      <left/>
      <right/>
      <top style="thin">
        <color indexed="22"/>
      </top>
      <bottom style="double">
        <color indexed="64"/>
      </bottom>
      <diagonal/>
    </border>
  </borders>
  <cellStyleXfs count="44">
    <xf numFmtId="0" fontId="0" fillId="0" borderId="0"/>
    <xf numFmtId="0" fontId="6"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2"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6"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8"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0"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8" fillId="16" borderId="0" applyNumberFormat="0" applyBorder="0" applyAlignment="0" applyProtection="0"/>
    <xf numFmtId="0" fontId="9" fillId="17" borderId="1" applyNumberFormat="0" applyAlignment="0" applyProtection="0"/>
    <xf numFmtId="0" fontId="10" fillId="18" borderId="2" applyNumberFormat="0" applyAlignment="0" applyProtection="0"/>
    <xf numFmtId="0" fontId="11" fillId="0" borderId="0" applyNumberFormat="0" applyFill="0" applyBorder="0" applyAlignment="0" applyProtection="0"/>
    <xf numFmtId="0" fontId="12" fillId="19"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2" fillId="0" borderId="0" applyNumberFormat="0" applyFill="0" applyBorder="0" applyAlignment="0" applyProtection="0">
      <alignment vertical="top"/>
      <protection locked="0"/>
    </xf>
    <xf numFmtId="0" fontId="16" fillId="11" borderId="1" applyNumberFormat="0" applyAlignment="0" applyProtection="0"/>
    <xf numFmtId="0" fontId="17" fillId="0" borderId="6" applyNumberFormat="0" applyFill="0" applyAlignment="0" applyProtection="0"/>
    <xf numFmtId="0" fontId="18" fillId="5" borderId="0" applyNumberFormat="0" applyBorder="0" applyAlignment="0" applyProtection="0"/>
    <xf numFmtId="0" fontId="4" fillId="5" borderId="7" applyNumberFormat="0" applyFont="0" applyAlignment="0" applyProtection="0"/>
    <xf numFmtId="0" fontId="19" fillId="17" borderId="8" applyNumberFormat="0" applyAlignment="0" applyProtection="0"/>
    <xf numFmtId="9" fontId="1" fillId="0" borderId="0" applyFont="0" applyFill="0" applyBorder="0" applyAlignment="0" applyProtection="0"/>
    <xf numFmtId="0" fontId="20" fillId="0" borderId="0" applyNumberFormat="0" applyFill="0" applyBorder="0" applyAlignment="0" applyProtection="0"/>
    <xf numFmtId="0" fontId="21" fillId="0" borderId="9" applyNumberFormat="0" applyFill="0" applyAlignment="0" applyProtection="0"/>
    <xf numFmtId="0" fontId="22" fillId="0" borderId="0" applyNumberFormat="0" applyFill="0" applyBorder="0" applyAlignment="0" applyProtection="0"/>
  </cellStyleXfs>
  <cellXfs count="139">
    <xf numFmtId="0" fontId="0" fillId="0" borderId="0" xfId="0"/>
    <xf numFmtId="0" fontId="1" fillId="0" borderId="0" xfId="0" applyFont="1"/>
    <xf numFmtId="0" fontId="5" fillId="0" borderId="0" xfId="0" applyFont="1" applyAlignment="1" applyProtection="1">
      <alignment vertical="center"/>
      <protection locked="0"/>
    </xf>
    <xf numFmtId="0" fontId="28" fillId="0" borderId="0" xfId="0" applyFont="1"/>
    <xf numFmtId="0" fontId="30" fillId="22" borderId="10" xfId="0" applyFont="1" applyFill="1" applyBorder="1" applyAlignment="1">
      <alignment horizontal="left" vertical="center"/>
    </xf>
    <xf numFmtId="0" fontId="27" fillId="22" borderId="10" xfId="0" applyFont="1" applyFill="1" applyBorder="1" applyAlignment="1">
      <alignment vertical="center"/>
    </xf>
    <xf numFmtId="0" fontId="27" fillId="22" borderId="10" xfId="0" applyFont="1" applyFill="1" applyBorder="1" applyAlignment="1">
      <alignment horizontal="center" vertical="center"/>
    </xf>
    <xf numFmtId="1" fontId="27" fillId="22" borderId="10" xfId="40" applyNumberFormat="1" applyFont="1" applyFill="1" applyBorder="1" applyAlignment="1" applyProtection="1">
      <alignment horizontal="center" vertical="center"/>
    </xf>
    <xf numFmtId="9" fontId="27" fillId="22" borderId="10" xfId="40" applyFont="1" applyFill="1" applyBorder="1" applyAlignment="1" applyProtection="1">
      <alignment horizontal="center" vertical="center"/>
    </xf>
    <xf numFmtId="1" fontId="27" fillId="22" borderId="10" xfId="0" applyNumberFormat="1" applyFont="1" applyFill="1" applyBorder="1" applyAlignment="1">
      <alignment horizontal="center" vertical="center"/>
    </xf>
    <xf numFmtId="0" fontId="27" fillId="0" borderId="10" xfId="0" applyFont="1" applyBorder="1" applyAlignment="1">
      <alignment horizontal="left" vertical="center"/>
    </xf>
    <xf numFmtId="0" fontId="27" fillId="0" borderId="10" xfId="0" applyFont="1" applyBorder="1" applyAlignment="1">
      <alignment vertical="center"/>
    </xf>
    <xf numFmtId="1" fontId="31" fillId="24" borderId="12" xfId="0" applyNumberFormat="1" applyFont="1" applyFill="1" applyBorder="1" applyAlignment="1">
      <alignment horizontal="center" vertical="center"/>
    </xf>
    <xf numFmtId="9" fontId="31" fillId="24" borderId="12" xfId="40" applyFont="1" applyFill="1" applyBorder="1" applyAlignment="1" applyProtection="1">
      <alignment horizontal="center" vertical="center"/>
    </xf>
    <xf numFmtId="1" fontId="31" fillId="0" borderId="12" xfId="0" applyNumberFormat="1" applyFont="1" applyBorder="1" applyAlignment="1">
      <alignment horizontal="center" vertical="center"/>
    </xf>
    <xf numFmtId="0" fontId="32" fillId="0" borderId="10" xfId="0" applyFont="1" applyBorder="1" applyAlignment="1">
      <alignment vertical="center"/>
    </xf>
    <xf numFmtId="0" fontId="27" fillId="0" borderId="10" xfId="0" applyFont="1" applyBorder="1" applyAlignment="1">
      <alignment horizontal="center" vertical="center"/>
    </xf>
    <xf numFmtId="1" fontId="27" fillId="0" borderId="10" xfId="40" applyNumberFormat="1" applyFont="1" applyFill="1" applyBorder="1" applyAlignment="1" applyProtection="1">
      <alignment horizontal="center" vertical="center"/>
    </xf>
    <xf numFmtId="9" fontId="27" fillId="0" borderId="10" xfId="40" applyFont="1" applyFill="1" applyBorder="1" applyAlignment="1" applyProtection="1">
      <alignment horizontal="center" vertical="center"/>
    </xf>
    <xf numFmtId="1" fontId="27" fillId="0" borderId="10" xfId="0" applyNumberFormat="1" applyFont="1" applyBorder="1" applyAlignment="1">
      <alignment horizontal="center" vertical="center"/>
    </xf>
    <xf numFmtId="0" fontId="27" fillId="0" borderId="0" xfId="0" applyFont="1" applyAlignment="1">
      <alignment vertical="center"/>
    </xf>
    <xf numFmtId="0" fontId="33" fillId="21" borderId="0" xfId="0" applyFont="1" applyFill="1" applyAlignment="1">
      <alignment vertical="center"/>
    </xf>
    <xf numFmtId="0" fontId="34" fillId="21" borderId="0" xfId="0" applyFont="1" applyFill="1" applyAlignment="1">
      <alignment vertical="center"/>
    </xf>
    <xf numFmtId="0" fontId="35" fillId="22" borderId="0" xfId="0" applyFont="1" applyFill="1" applyAlignment="1">
      <alignment vertical="center"/>
    </xf>
    <xf numFmtId="0" fontId="35" fillId="0" borderId="0" xfId="0" applyFont="1" applyAlignment="1">
      <alignment vertical="center"/>
    </xf>
    <xf numFmtId="0" fontId="31" fillId="21" borderId="0" xfId="0" applyFont="1" applyFill="1" applyAlignment="1">
      <alignment vertical="center"/>
    </xf>
    <xf numFmtId="0" fontId="27" fillId="22" borderId="0" xfId="0" applyFont="1" applyFill="1" applyAlignment="1">
      <alignment vertical="center"/>
    </xf>
    <xf numFmtId="0" fontId="31" fillId="20" borderId="11" xfId="0" applyFont="1" applyFill="1" applyBorder="1" applyAlignment="1">
      <alignment vertical="center"/>
    </xf>
    <xf numFmtId="0" fontId="31" fillId="0" borderId="12" xfId="0" quotePrefix="1" applyFont="1" applyBorder="1" applyAlignment="1">
      <alignment horizontal="center" vertical="center"/>
    </xf>
    <xf numFmtId="0" fontId="31" fillId="0" borderId="12" xfId="0" applyFont="1" applyBorder="1" applyAlignment="1">
      <alignment vertical="center"/>
    </xf>
    <xf numFmtId="166" fontId="3" fillId="0" borderId="13" xfId="0" applyNumberFormat="1" applyFont="1" applyBorder="1" applyAlignment="1">
      <alignment horizontal="center" vertical="center" shrinkToFit="1"/>
    </xf>
    <xf numFmtId="0" fontId="27" fillId="22" borderId="14" xfId="0" applyFont="1" applyFill="1" applyBorder="1" applyAlignment="1">
      <alignment vertical="center"/>
    </xf>
    <xf numFmtId="0" fontId="27" fillId="22" borderId="14" xfId="0" applyFont="1" applyFill="1" applyBorder="1" applyAlignment="1">
      <alignment horizontal="center" vertical="center"/>
    </xf>
    <xf numFmtId="165" fontId="27" fillId="22" borderId="14" xfId="0" applyNumberFormat="1" applyFont="1" applyFill="1" applyBorder="1" applyAlignment="1">
      <alignment horizontal="right" vertical="center"/>
    </xf>
    <xf numFmtId="1" fontId="27" fillId="22" borderId="14" xfId="40" applyNumberFormat="1" applyFont="1" applyFill="1" applyBorder="1" applyAlignment="1" applyProtection="1">
      <alignment horizontal="center" vertical="center"/>
    </xf>
    <xf numFmtId="9" fontId="27" fillId="22" borderId="14" xfId="40" applyFont="1" applyFill="1" applyBorder="1" applyAlignment="1" applyProtection="1">
      <alignment horizontal="center" vertical="center"/>
    </xf>
    <xf numFmtId="1" fontId="27" fillId="22" borderId="14" xfId="0" applyNumberFormat="1" applyFont="1" applyFill="1" applyBorder="1" applyAlignment="1">
      <alignment horizontal="center" vertical="center"/>
    </xf>
    <xf numFmtId="166" fontId="3" fillId="0" borderId="16" xfId="0" applyNumberFormat="1" applyFont="1" applyBorder="1" applyAlignment="1">
      <alignment horizontal="center" vertical="center" shrinkToFit="1"/>
    </xf>
    <xf numFmtId="166" fontId="3" fillId="0" borderId="17" xfId="0" applyNumberFormat="1" applyFont="1" applyBorder="1" applyAlignment="1">
      <alignment horizontal="center" vertical="center" shrinkToFit="1"/>
    </xf>
    <xf numFmtId="1" fontId="37" fillId="22" borderId="14" xfId="0" applyNumberFormat="1" applyFont="1" applyFill="1" applyBorder="1" applyAlignment="1">
      <alignment horizontal="center" vertical="center"/>
    </xf>
    <xf numFmtId="1" fontId="38" fillId="0" borderId="12" xfId="0" applyNumberFormat="1" applyFont="1" applyBorder="1" applyAlignment="1">
      <alignment horizontal="center" vertical="center"/>
    </xf>
    <xf numFmtId="1" fontId="37" fillId="22" borderId="10" xfId="0" applyNumberFormat="1" applyFont="1" applyFill="1" applyBorder="1" applyAlignment="1">
      <alignment horizontal="center" vertical="center"/>
    </xf>
    <xf numFmtId="1" fontId="37" fillId="0" borderId="10" xfId="0" applyNumberFormat="1" applyFont="1" applyBorder="1" applyAlignment="1">
      <alignment horizontal="center" vertical="center"/>
    </xf>
    <xf numFmtId="0" fontId="37" fillId="22" borderId="0" xfId="0" applyFont="1" applyFill="1" applyAlignment="1">
      <alignment vertical="center"/>
    </xf>
    <xf numFmtId="165" fontId="31" fillId="23" borderId="12" xfId="0" applyNumberFormat="1" applyFont="1" applyFill="1" applyBorder="1" applyAlignment="1">
      <alignment horizontal="center" vertical="center"/>
    </xf>
    <xf numFmtId="165" fontId="31" fillId="0" borderId="12" xfId="0" applyNumberFormat="1" applyFont="1" applyBorder="1" applyAlignment="1">
      <alignment horizontal="center" vertical="center"/>
    </xf>
    <xf numFmtId="165" fontId="27" fillId="22" borderId="10" xfId="0" applyNumberFormat="1" applyFont="1" applyFill="1" applyBorder="1" applyAlignment="1">
      <alignment horizontal="center" vertical="center"/>
    </xf>
    <xf numFmtId="0" fontId="32" fillId="0" borderId="10" xfId="0" applyFont="1" applyBorder="1" applyAlignment="1">
      <alignment horizontal="center" vertical="center"/>
    </xf>
    <xf numFmtId="0" fontId="34" fillId="21" borderId="0" xfId="0" applyFont="1" applyFill="1" applyAlignment="1">
      <alignment horizontal="center" vertical="center"/>
    </xf>
    <xf numFmtId="0" fontId="27" fillId="22" borderId="0" xfId="0" applyFont="1" applyFill="1" applyAlignment="1">
      <alignment horizontal="center" vertical="center"/>
    </xf>
    <xf numFmtId="0" fontId="27" fillId="22" borderId="14" xfId="0" applyFont="1" applyFill="1" applyBorder="1" applyAlignment="1">
      <alignment horizontal="left" vertical="center"/>
    </xf>
    <xf numFmtId="0" fontId="27" fillId="22" borderId="10" xfId="0" applyFont="1" applyFill="1" applyBorder="1" applyAlignment="1">
      <alignment horizontal="left" vertical="center"/>
    </xf>
    <xf numFmtId="0" fontId="39" fillId="0" borderId="0" xfId="0" applyFont="1"/>
    <xf numFmtId="0" fontId="39" fillId="0" borderId="0" xfId="0" applyFont="1" applyAlignment="1">
      <alignment horizontal="right" vertical="center"/>
    </xf>
    <xf numFmtId="165" fontId="27" fillId="22" borderId="14" xfId="0" applyNumberFormat="1" applyFont="1" applyFill="1" applyBorder="1" applyAlignment="1">
      <alignment horizontal="center" vertical="center"/>
    </xf>
    <xf numFmtId="0" fontId="40" fillId="0" borderId="18" xfId="0" applyFont="1" applyBorder="1" applyAlignment="1">
      <alignment horizontal="left" vertical="center"/>
    </xf>
    <xf numFmtId="0" fontId="40" fillId="0" borderId="18" xfId="0" applyFont="1" applyBorder="1" applyAlignment="1">
      <alignment horizontal="center" vertical="center" wrapText="1"/>
    </xf>
    <xf numFmtId="0" fontId="41" fillId="0" borderId="18" xfId="0" applyFont="1" applyBorder="1" applyAlignment="1">
      <alignment horizontal="center" vertical="center" wrapText="1"/>
    </xf>
    <xf numFmtId="0" fontId="40" fillId="0" borderId="18" xfId="0" applyFont="1" applyBorder="1" applyAlignment="1">
      <alignment horizontal="center" vertical="center"/>
    </xf>
    <xf numFmtId="0" fontId="27" fillId="0" borderId="19" xfId="0" applyFont="1" applyBorder="1" applyAlignment="1">
      <alignment horizontal="center" vertical="center" shrinkToFit="1"/>
    </xf>
    <xf numFmtId="0" fontId="27" fillId="0" borderId="20" xfId="0" applyFont="1" applyBorder="1" applyAlignment="1">
      <alignment horizontal="center" vertical="center" shrinkToFit="1"/>
    </xf>
    <xf numFmtId="0" fontId="27" fillId="0" borderId="21" xfId="0" applyFont="1" applyBorder="1" applyAlignment="1">
      <alignment horizontal="center" vertical="center" shrinkToFit="1"/>
    </xf>
    <xf numFmtId="0" fontId="42" fillId="0" borderId="0" xfId="0" applyFont="1" applyAlignment="1" applyProtection="1">
      <alignment vertical="center"/>
      <protection locked="0"/>
    </xf>
    <xf numFmtId="0" fontId="27" fillId="0" borderId="10" xfId="0" applyFont="1" applyBorder="1" applyAlignment="1">
      <alignment vertical="center" wrapText="1"/>
    </xf>
    <xf numFmtId="0" fontId="31" fillId="0" borderId="12" xfId="0" applyFont="1" applyBorder="1" applyAlignment="1">
      <alignment horizontal="center" vertical="center"/>
    </xf>
    <xf numFmtId="0" fontId="29" fillId="0" borderId="22" xfId="0" applyFont="1" applyBorder="1" applyAlignment="1" applyProtection="1">
      <alignment horizontal="center" vertical="center"/>
      <protection locked="0"/>
    </xf>
    <xf numFmtId="0" fontId="1" fillId="0" borderId="0" xfId="0" applyFont="1" applyAlignment="1">
      <alignment horizontal="right" vertical="center"/>
    </xf>
    <xf numFmtId="0" fontId="31" fillId="0" borderId="0" xfId="0" applyFont="1" applyAlignment="1">
      <alignment horizontal="center" vertical="center"/>
    </xf>
    <xf numFmtId="165" fontId="31" fillId="23" borderId="0" xfId="0" applyNumberFormat="1" applyFont="1" applyFill="1" applyAlignment="1">
      <alignment horizontal="center" vertical="center"/>
    </xf>
    <xf numFmtId="165" fontId="31" fillId="0" borderId="0" xfId="0" applyNumberFormat="1" applyFont="1" applyAlignment="1">
      <alignment horizontal="center" vertical="center"/>
    </xf>
    <xf numFmtId="1" fontId="31" fillId="24" borderId="0" xfId="0" applyNumberFormat="1" applyFont="1" applyFill="1" applyAlignment="1">
      <alignment horizontal="center" vertical="center"/>
    </xf>
    <xf numFmtId="9" fontId="31" fillId="24" borderId="0" xfId="40" applyFont="1" applyFill="1" applyBorder="1" applyAlignment="1" applyProtection="1">
      <alignment horizontal="center" vertical="center"/>
    </xf>
    <xf numFmtId="1" fontId="31" fillId="0" borderId="0" xfId="0" applyNumberFormat="1" applyFont="1" applyAlignment="1">
      <alignment horizontal="center" vertical="center"/>
    </xf>
    <xf numFmtId="1" fontId="38" fillId="0" borderId="0" xfId="0" applyNumberFormat="1" applyFont="1" applyAlignment="1">
      <alignment horizontal="center" vertical="center"/>
    </xf>
    <xf numFmtId="0" fontId="27" fillId="26" borderId="10" xfId="0" applyFont="1" applyFill="1" applyBorder="1" applyAlignment="1">
      <alignment horizontal="left" vertical="center"/>
    </xf>
    <xf numFmtId="0" fontId="30" fillId="22" borderId="14" xfId="0" applyFont="1" applyFill="1" applyBorder="1" applyAlignment="1">
      <alignment vertical="center" wrapText="1"/>
    </xf>
    <xf numFmtId="0" fontId="30" fillId="22" borderId="10" xfId="0" applyFont="1" applyFill="1" applyBorder="1" applyAlignment="1">
      <alignment vertical="center" wrapText="1"/>
    </xf>
    <xf numFmtId="0" fontId="46" fillId="27" borderId="0" xfId="0" applyFont="1" applyFill="1" applyAlignment="1">
      <alignment wrapText="1"/>
    </xf>
    <xf numFmtId="0" fontId="31" fillId="0" borderId="12" xfId="0" applyFont="1" applyBorder="1" applyAlignment="1">
      <alignment vertical="center" wrapText="1"/>
    </xf>
    <xf numFmtId="0" fontId="32" fillId="0" borderId="10" xfId="0" applyFont="1" applyBorder="1" applyAlignment="1">
      <alignment vertical="center" wrapText="1"/>
    </xf>
    <xf numFmtId="0" fontId="29" fillId="22" borderId="0" xfId="0" applyFont="1" applyFill="1" applyAlignment="1">
      <alignment vertical="center" wrapText="1"/>
    </xf>
    <xf numFmtId="0" fontId="27" fillId="22" borderId="0" xfId="0" applyFont="1" applyFill="1" applyAlignment="1">
      <alignment vertical="center" wrapText="1"/>
    </xf>
    <xf numFmtId="0" fontId="43" fillId="20" borderId="11" xfId="0" applyFont="1" applyFill="1" applyBorder="1" applyAlignment="1">
      <alignment vertical="center" wrapText="1"/>
    </xf>
    <xf numFmtId="0" fontId="31" fillId="0" borderId="12" xfId="0" applyFont="1" applyBorder="1" applyAlignment="1">
      <alignment horizontal="left" vertical="center" wrapText="1"/>
    </xf>
    <xf numFmtId="0" fontId="0" fillId="0" borderId="0" xfId="0" applyAlignment="1">
      <alignment wrapText="1"/>
    </xf>
    <xf numFmtId="0" fontId="27" fillId="0" borderId="14" xfId="0" applyFont="1" applyBorder="1" applyAlignment="1">
      <alignment horizontal="left" vertical="center"/>
    </xf>
    <xf numFmtId="0" fontId="32" fillId="0" borderId="14" xfId="0" applyFont="1" applyBorder="1" applyAlignment="1">
      <alignment vertical="center" wrapText="1"/>
    </xf>
    <xf numFmtId="0" fontId="32" fillId="0" borderId="14" xfId="0" applyFont="1" applyBorder="1" applyAlignment="1">
      <alignment vertical="center"/>
    </xf>
    <xf numFmtId="0" fontId="27" fillId="0" borderId="14" xfId="0" applyFont="1" applyBorder="1" applyAlignment="1">
      <alignment horizontal="center" vertical="center"/>
    </xf>
    <xf numFmtId="0" fontId="32" fillId="0" borderId="14" xfId="0" applyFont="1" applyBorder="1" applyAlignment="1">
      <alignment horizontal="center" vertical="center"/>
    </xf>
    <xf numFmtId="1" fontId="27" fillId="0" borderId="14" xfId="40" applyNumberFormat="1" applyFont="1" applyFill="1" applyBorder="1" applyAlignment="1" applyProtection="1">
      <alignment horizontal="center" vertical="center"/>
    </xf>
    <xf numFmtId="9" fontId="27" fillId="0" borderId="14" xfId="40" applyFont="1" applyFill="1" applyBorder="1" applyAlignment="1" applyProtection="1">
      <alignment horizontal="center" vertical="center"/>
    </xf>
    <xf numFmtId="1" fontId="27" fillId="0" borderId="14" xfId="0" applyNumberFormat="1" applyFont="1" applyBorder="1" applyAlignment="1">
      <alignment horizontal="center" vertical="center"/>
    </xf>
    <xf numFmtId="1" fontId="37" fillId="0" borderId="14" xfId="0" applyNumberFormat="1" applyFont="1" applyBorder="1" applyAlignment="1">
      <alignment horizontal="center" vertical="center"/>
    </xf>
    <xf numFmtId="0" fontId="27" fillId="0" borderId="23" xfId="0" applyFont="1" applyBorder="1" applyAlignment="1">
      <alignment horizontal="left" vertical="center"/>
    </xf>
    <xf numFmtId="0" fontId="0" fillId="0" borderId="24" xfId="0" applyBorder="1"/>
    <xf numFmtId="0" fontId="1" fillId="0" borderId="24" xfId="0" applyFont="1" applyBorder="1"/>
    <xf numFmtId="0" fontId="27" fillId="22" borderId="25" xfId="0" applyFont="1" applyFill="1" applyBorder="1" applyAlignment="1">
      <alignment vertical="center"/>
    </xf>
    <xf numFmtId="0" fontId="27" fillId="0" borderId="25" xfId="0" applyFont="1" applyBorder="1" applyAlignment="1">
      <alignment vertical="center"/>
    </xf>
    <xf numFmtId="0" fontId="27" fillId="0" borderId="24" xfId="0" applyFont="1" applyBorder="1" applyAlignment="1">
      <alignment vertical="center"/>
    </xf>
    <xf numFmtId="0" fontId="35" fillId="0" borderId="24" xfId="0" applyFont="1" applyBorder="1" applyAlignment="1">
      <alignment vertical="center"/>
    </xf>
    <xf numFmtId="0" fontId="27" fillId="24" borderId="10" xfId="0" applyFont="1" applyFill="1" applyBorder="1" applyAlignment="1">
      <alignment horizontal="left" vertical="center"/>
    </xf>
    <xf numFmtId="0" fontId="27" fillId="28" borderId="10" xfId="0" applyFont="1" applyFill="1" applyBorder="1" applyAlignment="1">
      <alignment horizontal="left" vertical="center"/>
    </xf>
    <xf numFmtId="0" fontId="27" fillId="29" borderId="10" xfId="0" applyFont="1" applyFill="1" applyBorder="1" applyAlignment="1">
      <alignment horizontal="left" vertical="center"/>
    </xf>
    <xf numFmtId="0" fontId="30" fillId="0" borderId="14" xfId="0" applyFont="1" applyBorder="1" applyAlignment="1">
      <alignment horizontal="left" vertical="center"/>
    </xf>
    <xf numFmtId="0" fontId="27" fillId="0" borderId="0" xfId="0" applyFont="1" applyAlignment="1">
      <alignment horizontal="left" vertical="center"/>
    </xf>
    <xf numFmtId="0" fontId="33" fillId="0" borderId="0" xfId="0" applyFont="1" applyAlignment="1">
      <alignment vertical="center"/>
    </xf>
    <xf numFmtId="0" fontId="31" fillId="0" borderId="0" xfId="0" applyFont="1" applyAlignment="1">
      <alignment vertical="center"/>
    </xf>
    <xf numFmtId="0" fontId="30" fillId="0" borderId="0" xfId="0" applyFont="1" applyAlignment="1">
      <alignment horizontal="left" vertical="center"/>
    </xf>
    <xf numFmtId="0" fontId="27" fillId="0" borderId="23" xfId="0" applyFont="1" applyBorder="1" applyAlignment="1">
      <alignment vertical="center"/>
    </xf>
    <xf numFmtId="0" fontId="31" fillId="0" borderId="23" xfId="0" applyFont="1" applyBorder="1" applyAlignment="1">
      <alignment horizontal="center" vertical="center"/>
    </xf>
    <xf numFmtId="165" fontId="31" fillId="23" borderId="23" xfId="0" applyNumberFormat="1" applyFont="1" applyFill="1" applyBorder="1" applyAlignment="1">
      <alignment horizontal="center" vertical="center"/>
    </xf>
    <xf numFmtId="165" fontId="31" fillId="0" borderId="23" xfId="0" applyNumberFormat="1" applyFont="1" applyBorder="1" applyAlignment="1">
      <alignment horizontal="center" vertical="center"/>
    </xf>
    <xf numFmtId="1" fontId="31" fillId="24" borderId="23" xfId="0" applyNumberFormat="1" applyFont="1" applyFill="1" applyBorder="1" applyAlignment="1">
      <alignment horizontal="center" vertical="center"/>
    </xf>
    <xf numFmtId="9" fontId="31" fillId="24" borderId="23" xfId="40" applyFont="1" applyFill="1" applyBorder="1" applyAlignment="1" applyProtection="1">
      <alignment horizontal="center" vertical="center"/>
    </xf>
    <xf numFmtId="1" fontId="31" fillId="0" borderId="23" xfId="0" applyNumberFormat="1" applyFont="1" applyBorder="1" applyAlignment="1">
      <alignment horizontal="center" vertical="center"/>
    </xf>
    <xf numFmtId="1" fontId="38" fillId="0" borderId="23" xfId="0" applyNumberFormat="1" applyFont="1" applyBorder="1" applyAlignment="1">
      <alignment horizontal="center" vertical="center"/>
    </xf>
    <xf numFmtId="0" fontId="27" fillId="0" borderId="26" xfId="0" applyFont="1" applyBorder="1" applyAlignment="1">
      <alignment vertical="center"/>
    </xf>
    <xf numFmtId="0" fontId="27" fillId="29" borderId="23" xfId="0" applyFont="1" applyFill="1" applyBorder="1" applyAlignment="1">
      <alignment horizontal="left" vertical="center"/>
    </xf>
    <xf numFmtId="0" fontId="47" fillId="0" borderId="12" xfId="34" applyFont="1" applyBorder="1" applyAlignment="1" applyProtection="1">
      <alignment vertical="center" wrapText="1"/>
    </xf>
    <xf numFmtId="0" fontId="27" fillId="26" borderId="14" xfId="0" applyFont="1" applyFill="1" applyBorder="1" applyAlignment="1">
      <alignment horizontal="left" vertical="center"/>
    </xf>
    <xf numFmtId="0" fontId="31" fillId="0" borderId="0" xfId="0" applyFont="1" applyAlignment="1">
      <alignment horizontal="left" vertical="center" wrapText="1"/>
    </xf>
    <xf numFmtId="0" fontId="27" fillId="0" borderId="27" xfId="0" applyFont="1" applyBorder="1" applyAlignment="1">
      <alignment vertical="center"/>
    </xf>
    <xf numFmtId="0" fontId="27" fillId="0" borderId="27" xfId="0" applyFont="1" applyBorder="1" applyAlignment="1">
      <alignment horizontal="left" vertical="center"/>
    </xf>
    <xf numFmtId="0" fontId="27" fillId="0" borderId="28" xfId="0" applyFont="1" applyBorder="1" applyAlignment="1">
      <alignment vertical="center"/>
    </xf>
    <xf numFmtId="0" fontId="27" fillId="30" borderId="10" xfId="0" applyFont="1" applyFill="1" applyBorder="1" applyAlignment="1">
      <alignment horizontal="left" vertical="center"/>
    </xf>
    <xf numFmtId="0" fontId="30" fillId="0" borderId="29" xfId="0" applyFont="1" applyBorder="1" applyAlignment="1">
      <alignment horizontal="left" vertical="center"/>
    </xf>
    <xf numFmtId="0" fontId="27" fillId="29" borderId="27" xfId="0" applyFont="1" applyFill="1" applyBorder="1" applyAlignment="1">
      <alignment horizontal="left" vertical="center"/>
    </xf>
    <xf numFmtId="0" fontId="2" fillId="0" borderId="12" xfId="34" applyBorder="1" applyAlignment="1" applyProtection="1">
      <alignment vertical="center" wrapText="1"/>
    </xf>
    <xf numFmtId="0" fontId="48" fillId="25" borderId="10" xfId="0" applyFont="1" applyFill="1" applyBorder="1" applyAlignment="1">
      <alignment vertical="center" wrapText="1"/>
    </xf>
    <xf numFmtId="0" fontId="44" fillId="0" borderId="0" xfId="34" applyFont="1" applyBorder="1" applyAlignment="1" applyProtection="1">
      <alignment horizontal="left" vertical="center"/>
    </xf>
    <xf numFmtId="164" fontId="29" fillId="0" borderId="15" xfId="0" applyNumberFormat="1" applyFont="1" applyBorder="1" applyAlignment="1" applyProtection="1">
      <alignment horizontal="center" vertical="center" shrinkToFit="1"/>
      <protection locked="0"/>
    </xf>
    <xf numFmtId="0" fontId="36" fillId="0" borderId="16" xfId="0" applyFont="1" applyBorder="1" applyAlignment="1">
      <alignment horizontal="center" vertical="center"/>
    </xf>
    <xf numFmtId="0" fontId="36" fillId="0" borderId="13" xfId="0" applyFont="1" applyBorder="1" applyAlignment="1">
      <alignment horizontal="center" vertical="center"/>
    </xf>
    <xf numFmtId="0" fontId="36" fillId="0" borderId="17" xfId="0" applyFont="1" applyBorder="1" applyAlignment="1">
      <alignment horizontal="center" vertical="center"/>
    </xf>
    <xf numFmtId="164" fontId="29" fillId="0" borderId="22" xfId="0" applyNumberFormat="1" applyFont="1" applyBorder="1" applyAlignment="1" applyProtection="1">
      <alignment horizontal="center" vertical="center" shrinkToFit="1"/>
      <protection locked="0"/>
    </xf>
    <xf numFmtId="167" fontId="29" fillId="0" borderId="16" xfId="0" applyNumberFormat="1" applyFont="1" applyBorder="1" applyAlignment="1">
      <alignment horizontal="center" vertical="center"/>
    </xf>
    <xf numFmtId="167" fontId="29" fillId="0" borderId="13" xfId="0" applyNumberFormat="1" applyFont="1" applyBorder="1" applyAlignment="1">
      <alignment horizontal="center" vertical="center"/>
    </xf>
    <xf numFmtId="167" fontId="29" fillId="0" borderId="17" xfId="0" applyNumberFormat="1" applyFont="1" applyBorder="1" applyAlignment="1">
      <alignment horizontal="center" vertical="center"/>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6">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7F7B9"/>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21</xdr:col>
      <xdr:colOff>113884</xdr:colOff>
      <xdr:row>5</xdr:row>
      <xdr:rowOff>142875</xdr:rowOff>
    </xdr:from>
    <xdr:to>
      <xdr:col>42</xdr:col>
      <xdr:colOff>140554</xdr:colOff>
      <xdr:row>10</xdr:row>
      <xdr:rowOff>114300</xdr:rowOff>
    </xdr:to>
    <xdr:sp macro="" textlink="">
      <xdr:nvSpPr>
        <xdr:cNvPr id="8236" name="Text Box 44" hidden="1">
          <a:extLst>
            <a:ext uri="{FF2B5EF4-FFF2-40B4-BE49-F238E27FC236}">
              <a16:creationId xmlns:a16="http://schemas.microsoft.com/office/drawing/2014/main" id="{00000000-0008-0000-0000-00002C200000}"/>
            </a:ext>
          </a:extLst>
        </xdr:cNvPr>
        <xdr:cNvSpPr txBox="1">
          <a:spLocks noChangeArrowheads="1"/>
        </xdr:cNvSpPr>
      </xdr:nvSpPr>
      <xdr:spPr bwMode="auto">
        <a:xfrm>
          <a:off x="4953000" y="1371600"/>
          <a:ext cx="3419475" cy="1104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youtu.be/qANodUksDg8" TargetMode="External"/><Relationship Id="rId13" Type="http://schemas.openxmlformats.org/officeDocument/2006/relationships/drawing" Target="../drawings/drawing1.xml"/><Relationship Id="rId3" Type="http://schemas.openxmlformats.org/officeDocument/2006/relationships/hyperlink" Target="https://youtu.be/FKtw0dEb9wA" TargetMode="External"/><Relationship Id="rId7" Type="http://schemas.openxmlformats.org/officeDocument/2006/relationships/hyperlink" Target="https://youtu.be/J0NuOlA2xDc" TargetMode="External"/><Relationship Id="rId12" Type="http://schemas.openxmlformats.org/officeDocument/2006/relationships/printerSettings" Target="../printerSettings/printerSettings1.bin"/><Relationship Id="rId2" Type="http://schemas.openxmlformats.org/officeDocument/2006/relationships/hyperlink" Target="https://youtu.be/gc7wKr0XkN8" TargetMode="External"/><Relationship Id="rId1" Type="http://schemas.openxmlformats.org/officeDocument/2006/relationships/hyperlink" Target="https://www.youtube.com/watch?v=2IK3DFHRFfw" TargetMode="External"/><Relationship Id="rId6" Type="http://schemas.openxmlformats.org/officeDocument/2006/relationships/hyperlink" Target="https://www.vertex42.com/ExcelTemplates/excel-gantt-chart.html" TargetMode="External"/><Relationship Id="rId11" Type="http://schemas.openxmlformats.org/officeDocument/2006/relationships/hyperlink" Target="https://youtu.be/YSePP8SMv78" TargetMode="External"/><Relationship Id="rId5" Type="http://schemas.openxmlformats.org/officeDocument/2006/relationships/hyperlink" Target="https://youtu.be/Gjnup-PuquQ" TargetMode="External"/><Relationship Id="rId15" Type="http://schemas.openxmlformats.org/officeDocument/2006/relationships/comments" Target="../comments1.xml"/><Relationship Id="rId10" Type="http://schemas.openxmlformats.org/officeDocument/2006/relationships/hyperlink" Target="https://youtu.be/rIrNIzy6U_g" TargetMode="External"/><Relationship Id="rId4" Type="http://schemas.openxmlformats.org/officeDocument/2006/relationships/hyperlink" Target="https://youtu.be/v0aMnIqRfAg" TargetMode="External"/><Relationship Id="rId9" Type="http://schemas.openxmlformats.org/officeDocument/2006/relationships/hyperlink" Target="https://youtu.be/gieEQFIfgYc" TargetMode="External"/><Relationship Id="rId1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pageSetUpPr fitToPage="1"/>
  </sheetPr>
  <dimension ref="A1:CH133"/>
  <sheetViews>
    <sheetView showGridLines="0" tabSelected="1" topLeftCell="A2" zoomScaleNormal="100" workbookViewId="0">
      <pane xSplit="10" ySplit="4" topLeftCell="P14" activePane="bottomRight" state="frozen"/>
      <selection activeCell="A2" sqref="A2"/>
      <selection pane="topRight" activeCell="J2" sqref="J2"/>
      <selection pane="bottomLeft" activeCell="A8" sqref="A8"/>
      <selection pane="bottomRight" activeCell="BB19" sqref="BB19:BB22"/>
    </sheetView>
  </sheetViews>
  <sheetFormatPr defaultColWidth="9.109375" defaultRowHeight="13.2" x14ac:dyDescent="0.25"/>
  <cols>
    <col min="1" max="1" width="7.109375" customWidth="1"/>
    <col min="2" max="2" width="3.109375" customWidth="1"/>
    <col min="3" max="3" width="36" customWidth="1"/>
    <col min="4" max="4" width="9.33203125" hidden="1" customWidth="1"/>
    <col min="5" max="5" width="8.6640625" hidden="1" customWidth="1"/>
    <col min="6" max="7" width="12" hidden="1" customWidth="1"/>
    <col min="8" max="8" width="6" hidden="1" customWidth="1"/>
    <col min="9" max="9" width="6.6640625" hidden="1" customWidth="1"/>
    <col min="10" max="10" width="6.44140625" hidden="1" customWidth="1"/>
    <col min="11" max="11" width="1.88671875" customWidth="1"/>
    <col min="12" max="81" width="2.44140625" customWidth="1"/>
    <col min="86" max="86" width="9.109375" style="95"/>
  </cols>
  <sheetData>
    <row r="1" spans="1:86" ht="30" customHeight="1" x14ac:dyDescent="0.25">
      <c r="A1" s="62" t="s">
        <v>1</v>
      </c>
      <c r="B1" s="62"/>
      <c r="C1" s="2"/>
      <c r="D1" s="2"/>
      <c r="E1" s="2"/>
      <c r="F1" s="2"/>
      <c r="G1" s="2"/>
      <c r="J1" s="66"/>
      <c r="L1" s="130" t="s">
        <v>22</v>
      </c>
      <c r="M1" s="130"/>
      <c r="N1" s="130"/>
      <c r="O1" s="130"/>
      <c r="P1" s="130"/>
      <c r="Q1" s="130"/>
      <c r="R1" s="130"/>
      <c r="S1" s="130"/>
      <c r="T1" s="130"/>
      <c r="U1" s="130"/>
      <c r="V1" s="130"/>
      <c r="W1" s="130"/>
      <c r="X1" s="130"/>
      <c r="Y1" s="130"/>
      <c r="Z1" s="130"/>
      <c r="AA1" s="130"/>
      <c r="AB1" s="130"/>
      <c r="AC1" s="130"/>
      <c r="AD1" s="130"/>
      <c r="AE1" s="130"/>
      <c r="AF1" s="130"/>
    </row>
    <row r="2" spans="1:86" ht="17.25" customHeight="1" x14ac:dyDescent="0.25">
      <c r="A2" s="52"/>
      <c r="B2" s="52"/>
      <c r="C2" s="53" t="s">
        <v>19</v>
      </c>
      <c r="D2" s="135">
        <v>45336</v>
      </c>
      <c r="E2" s="135"/>
      <c r="F2" s="135"/>
      <c r="G2" s="52"/>
      <c r="H2" s="53" t="s">
        <v>18</v>
      </c>
      <c r="I2" s="65">
        <v>1</v>
      </c>
      <c r="J2" s="1"/>
      <c r="K2" s="3"/>
      <c r="L2" s="132" t="str">
        <f>"Week "&amp;(L4-($D$2-WEEKDAY($D$2,1)+2))/7+1</f>
        <v>Week 1</v>
      </c>
      <c r="M2" s="133"/>
      <c r="N2" s="133"/>
      <c r="O2" s="133"/>
      <c r="P2" s="133"/>
      <c r="Q2" s="133"/>
      <c r="R2" s="134"/>
      <c r="S2" s="132" t="str">
        <f>"Week "&amp;(S4-($D$2-WEEKDAY($D$2,1)+2))/7+1</f>
        <v>Week 2</v>
      </c>
      <c r="T2" s="133"/>
      <c r="U2" s="133"/>
      <c r="V2" s="133"/>
      <c r="W2" s="133"/>
      <c r="X2" s="133"/>
      <c r="Y2" s="134"/>
      <c r="Z2" s="132" t="str">
        <f>"Week "&amp;(Z4-($D$2-WEEKDAY($D$2,1)+2))/7+1</f>
        <v>Week 3</v>
      </c>
      <c r="AA2" s="133"/>
      <c r="AB2" s="133"/>
      <c r="AC2" s="133"/>
      <c r="AD2" s="133"/>
      <c r="AE2" s="133"/>
      <c r="AF2" s="134"/>
      <c r="AG2" s="132" t="str">
        <f>"Week "&amp;(AG4-($D$2-WEEKDAY($D$2,1)+2))/7+1</f>
        <v>Week 4</v>
      </c>
      <c r="AH2" s="133"/>
      <c r="AI2" s="133"/>
      <c r="AJ2" s="133"/>
      <c r="AK2" s="133"/>
      <c r="AL2" s="133"/>
      <c r="AM2" s="134"/>
      <c r="AN2" s="132" t="str">
        <f>"Week "&amp;(AN4-($D$2-WEEKDAY($D$2,1)+2))/7+1</f>
        <v>Week 5</v>
      </c>
      <c r="AO2" s="133"/>
      <c r="AP2" s="133"/>
      <c r="AQ2" s="133"/>
      <c r="AR2" s="133"/>
      <c r="AS2" s="133"/>
      <c r="AT2" s="134"/>
      <c r="AU2" s="132" t="str">
        <f>"Week "&amp;(AU4-($D$2-WEEKDAY($D$2,1)+2))/7+1</f>
        <v>Week 6</v>
      </c>
      <c r="AV2" s="133"/>
      <c r="AW2" s="133"/>
      <c r="AX2" s="133"/>
      <c r="AY2" s="133"/>
      <c r="AZ2" s="133"/>
      <c r="BA2" s="134"/>
      <c r="BB2" s="132" t="str">
        <f>"Week "&amp;(BB4-($D$2-WEEKDAY($D$2,1)+2))/7+1</f>
        <v>Week 7</v>
      </c>
      <c r="BC2" s="133"/>
      <c r="BD2" s="133"/>
      <c r="BE2" s="133"/>
      <c r="BF2" s="133"/>
      <c r="BG2" s="133"/>
      <c r="BH2" s="134"/>
      <c r="BI2" s="132" t="str">
        <f>"Week "&amp;(BI4-($D$2-WEEKDAY($D$2,1)+2))/7+1</f>
        <v>Week 8</v>
      </c>
      <c r="BJ2" s="133"/>
      <c r="BK2" s="133"/>
      <c r="BL2" s="133"/>
      <c r="BM2" s="133"/>
      <c r="BN2" s="133"/>
      <c r="BO2" s="134"/>
      <c r="BP2" s="132" t="str">
        <f>"Week "&amp;(BP4-($D$2-WEEKDAY($D$2,1)+2))/7+1</f>
        <v>Week 9</v>
      </c>
      <c r="BQ2" s="133"/>
      <c r="BR2" s="133"/>
      <c r="BS2" s="133"/>
      <c r="BT2" s="133"/>
      <c r="BU2" s="133"/>
      <c r="BV2" s="134"/>
      <c r="BW2" s="132" t="str">
        <f>"Week "&amp;(BW4-($D$2-WEEKDAY($D$2,1)+2))/7+1</f>
        <v>Week 10</v>
      </c>
      <c r="BX2" s="133"/>
      <c r="BY2" s="133"/>
      <c r="BZ2" s="133"/>
      <c r="CA2" s="133"/>
      <c r="CB2" s="133"/>
      <c r="CC2" s="134"/>
    </row>
    <row r="3" spans="1:86" ht="17.25" customHeight="1" x14ac:dyDescent="0.25">
      <c r="A3" s="52"/>
      <c r="B3" s="52"/>
      <c r="C3" s="53" t="s">
        <v>20</v>
      </c>
      <c r="D3" s="131"/>
      <c r="E3" s="131"/>
      <c r="F3" s="131"/>
      <c r="G3" s="52"/>
      <c r="H3" s="52"/>
      <c r="I3" s="52"/>
      <c r="J3" s="52"/>
      <c r="K3" s="3"/>
      <c r="L3" s="136">
        <f>L4</f>
        <v>45334</v>
      </c>
      <c r="M3" s="137"/>
      <c r="N3" s="137"/>
      <c r="O3" s="137"/>
      <c r="P3" s="137"/>
      <c r="Q3" s="137"/>
      <c r="R3" s="138"/>
      <c r="S3" s="136">
        <f>S4</f>
        <v>45341</v>
      </c>
      <c r="T3" s="137"/>
      <c r="U3" s="137"/>
      <c r="V3" s="137"/>
      <c r="W3" s="137"/>
      <c r="X3" s="137"/>
      <c r="Y3" s="138"/>
      <c r="Z3" s="136">
        <f>Z4</f>
        <v>45348</v>
      </c>
      <c r="AA3" s="137"/>
      <c r="AB3" s="137"/>
      <c r="AC3" s="137"/>
      <c r="AD3" s="137"/>
      <c r="AE3" s="137"/>
      <c r="AF3" s="138"/>
      <c r="AG3" s="136">
        <f>AG4</f>
        <v>45355</v>
      </c>
      <c r="AH3" s="137"/>
      <c r="AI3" s="137"/>
      <c r="AJ3" s="137"/>
      <c r="AK3" s="137"/>
      <c r="AL3" s="137"/>
      <c r="AM3" s="138"/>
      <c r="AN3" s="136">
        <f>AN4</f>
        <v>45362</v>
      </c>
      <c r="AO3" s="137"/>
      <c r="AP3" s="137"/>
      <c r="AQ3" s="137"/>
      <c r="AR3" s="137"/>
      <c r="AS3" s="137"/>
      <c r="AT3" s="138"/>
      <c r="AU3" s="136">
        <f>AU4</f>
        <v>45369</v>
      </c>
      <c r="AV3" s="137"/>
      <c r="AW3" s="137"/>
      <c r="AX3" s="137"/>
      <c r="AY3" s="137"/>
      <c r="AZ3" s="137"/>
      <c r="BA3" s="138"/>
      <c r="BB3" s="136">
        <f>BB4</f>
        <v>45376</v>
      </c>
      <c r="BC3" s="137"/>
      <c r="BD3" s="137"/>
      <c r="BE3" s="137"/>
      <c r="BF3" s="137"/>
      <c r="BG3" s="137"/>
      <c r="BH3" s="138"/>
      <c r="BI3" s="136">
        <f>BI4</f>
        <v>45383</v>
      </c>
      <c r="BJ3" s="137"/>
      <c r="BK3" s="137"/>
      <c r="BL3" s="137"/>
      <c r="BM3" s="137"/>
      <c r="BN3" s="137"/>
      <c r="BO3" s="138"/>
      <c r="BP3" s="136">
        <f>BP4</f>
        <v>45390</v>
      </c>
      <c r="BQ3" s="137"/>
      <c r="BR3" s="137"/>
      <c r="BS3" s="137"/>
      <c r="BT3" s="137"/>
      <c r="BU3" s="137"/>
      <c r="BV3" s="138"/>
      <c r="BW3" s="136">
        <f>BW4</f>
        <v>45397</v>
      </c>
      <c r="BX3" s="137"/>
      <c r="BY3" s="137"/>
      <c r="BZ3" s="137"/>
      <c r="CA3" s="137"/>
      <c r="CB3" s="137"/>
      <c r="CC3" s="138"/>
    </row>
    <row r="4" spans="1:86" x14ac:dyDescent="0.25">
      <c r="A4" s="3"/>
      <c r="B4" s="3"/>
      <c r="C4" s="3"/>
      <c r="D4" s="3"/>
      <c r="E4" s="3"/>
      <c r="F4" s="3"/>
      <c r="G4" s="3"/>
      <c r="H4" s="3"/>
      <c r="I4" s="3"/>
      <c r="J4" s="3"/>
      <c r="K4" s="3"/>
      <c r="L4" s="37">
        <f>D2-WEEKDAY(D2,1)+2+7*(I2-1)</f>
        <v>45334</v>
      </c>
      <c r="M4" s="30">
        <f t="shared" ref="M4:AR4" si="0">L4+1</f>
        <v>45335</v>
      </c>
      <c r="N4" s="30">
        <f t="shared" si="0"/>
        <v>45336</v>
      </c>
      <c r="O4" s="30">
        <f t="shared" si="0"/>
        <v>45337</v>
      </c>
      <c r="P4" s="30">
        <f t="shared" si="0"/>
        <v>45338</v>
      </c>
      <c r="Q4" s="30">
        <f t="shared" si="0"/>
        <v>45339</v>
      </c>
      <c r="R4" s="38">
        <f t="shared" si="0"/>
        <v>45340</v>
      </c>
      <c r="S4" s="37">
        <f t="shared" si="0"/>
        <v>45341</v>
      </c>
      <c r="T4" s="30">
        <f t="shared" si="0"/>
        <v>45342</v>
      </c>
      <c r="U4" s="30">
        <f t="shared" si="0"/>
        <v>45343</v>
      </c>
      <c r="V4" s="30">
        <f t="shared" si="0"/>
        <v>45344</v>
      </c>
      <c r="W4" s="30">
        <f t="shared" si="0"/>
        <v>45345</v>
      </c>
      <c r="X4" s="30">
        <f t="shared" si="0"/>
        <v>45346</v>
      </c>
      <c r="Y4" s="38">
        <f t="shared" si="0"/>
        <v>45347</v>
      </c>
      <c r="Z4" s="37">
        <f t="shared" si="0"/>
        <v>45348</v>
      </c>
      <c r="AA4" s="30">
        <f t="shared" si="0"/>
        <v>45349</v>
      </c>
      <c r="AB4" s="30">
        <f t="shared" si="0"/>
        <v>45350</v>
      </c>
      <c r="AC4" s="30">
        <f t="shared" si="0"/>
        <v>45351</v>
      </c>
      <c r="AD4" s="30">
        <f t="shared" si="0"/>
        <v>45352</v>
      </c>
      <c r="AE4" s="30">
        <f t="shared" si="0"/>
        <v>45353</v>
      </c>
      <c r="AF4" s="38">
        <f t="shared" si="0"/>
        <v>45354</v>
      </c>
      <c r="AG4" s="37">
        <f t="shared" si="0"/>
        <v>45355</v>
      </c>
      <c r="AH4" s="30">
        <f t="shared" si="0"/>
        <v>45356</v>
      </c>
      <c r="AI4" s="30">
        <f t="shared" si="0"/>
        <v>45357</v>
      </c>
      <c r="AJ4" s="30">
        <f t="shared" si="0"/>
        <v>45358</v>
      </c>
      <c r="AK4" s="30">
        <f t="shared" si="0"/>
        <v>45359</v>
      </c>
      <c r="AL4" s="30">
        <f t="shared" si="0"/>
        <v>45360</v>
      </c>
      <c r="AM4" s="38">
        <f t="shared" si="0"/>
        <v>45361</v>
      </c>
      <c r="AN4" s="37">
        <f t="shared" si="0"/>
        <v>45362</v>
      </c>
      <c r="AO4" s="30">
        <f t="shared" si="0"/>
        <v>45363</v>
      </c>
      <c r="AP4" s="30">
        <f t="shared" si="0"/>
        <v>45364</v>
      </c>
      <c r="AQ4" s="30">
        <f>AP4+1</f>
        <v>45365</v>
      </c>
      <c r="AR4" s="30">
        <f t="shared" si="0"/>
        <v>45366</v>
      </c>
      <c r="AS4" s="30">
        <f t="shared" ref="AS4:BO4" si="1">AR4+1</f>
        <v>45367</v>
      </c>
      <c r="AT4" s="38">
        <f t="shared" si="1"/>
        <v>45368</v>
      </c>
      <c r="AU4" s="37">
        <f t="shared" si="1"/>
        <v>45369</v>
      </c>
      <c r="AV4" s="30">
        <f t="shared" si="1"/>
        <v>45370</v>
      </c>
      <c r="AW4" s="30">
        <f t="shared" si="1"/>
        <v>45371</v>
      </c>
      <c r="AX4" s="30">
        <f t="shared" si="1"/>
        <v>45372</v>
      </c>
      <c r="AY4" s="30">
        <f t="shared" si="1"/>
        <v>45373</v>
      </c>
      <c r="AZ4" s="30">
        <f t="shared" si="1"/>
        <v>45374</v>
      </c>
      <c r="BA4" s="38">
        <f t="shared" si="1"/>
        <v>45375</v>
      </c>
      <c r="BB4" s="37">
        <f t="shared" si="1"/>
        <v>45376</v>
      </c>
      <c r="BC4" s="30">
        <f t="shared" si="1"/>
        <v>45377</v>
      </c>
      <c r="BD4" s="30">
        <f t="shared" si="1"/>
        <v>45378</v>
      </c>
      <c r="BE4" s="30">
        <f t="shared" si="1"/>
        <v>45379</v>
      </c>
      <c r="BF4" s="30">
        <f t="shared" si="1"/>
        <v>45380</v>
      </c>
      <c r="BG4" s="30">
        <f t="shared" si="1"/>
        <v>45381</v>
      </c>
      <c r="BH4" s="38">
        <f t="shared" si="1"/>
        <v>45382</v>
      </c>
      <c r="BI4" s="37">
        <f t="shared" si="1"/>
        <v>45383</v>
      </c>
      <c r="BJ4" s="30">
        <f t="shared" si="1"/>
        <v>45384</v>
      </c>
      <c r="BK4" s="30">
        <f t="shared" si="1"/>
        <v>45385</v>
      </c>
      <c r="BL4" s="30">
        <f t="shared" si="1"/>
        <v>45386</v>
      </c>
      <c r="BM4" s="30">
        <f t="shared" si="1"/>
        <v>45387</v>
      </c>
      <c r="BN4" s="30">
        <f t="shared" si="1"/>
        <v>45388</v>
      </c>
      <c r="BO4" s="38">
        <f t="shared" si="1"/>
        <v>45389</v>
      </c>
      <c r="BP4" s="37">
        <f t="shared" ref="BP4" si="2">BO4+1</f>
        <v>45390</v>
      </c>
      <c r="BQ4" s="30">
        <f t="shared" ref="BQ4" si="3">BP4+1</f>
        <v>45391</v>
      </c>
      <c r="BR4" s="30">
        <f t="shared" ref="BR4" si="4">BQ4+1</f>
        <v>45392</v>
      </c>
      <c r="BS4" s="30">
        <f t="shared" ref="BS4" si="5">BR4+1</f>
        <v>45393</v>
      </c>
      <c r="BT4" s="30">
        <f t="shared" ref="BT4" si="6">BS4+1</f>
        <v>45394</v>
      </c>
      <c r="BU4" s="30">
        <f t="shared" ref="BU4" si="7">BT4+1</f>
        <v>45395</v>
      </c>
      <c r="BV4" s="38">
        <f t="shared" ref="BV4" si="8">BU4+1</f>
        <v>45396</v>
      </c>
      <c r="BW4" s="37">
        <f t="shared" ref="BW4" si="9">BV4+1</f>
        <v>45397</v>
      </c>
      <c r="BX4" s="30">
        <f t="shared" ref="BX4" si="10">BW4+1</f>
        <v>45398</v>
      </c>
      <c r="BY4" s="30">
        <f t="shared" ref="BY4" si="11">BX4+1</f>
        <v>45399</v>
      </c>
      <c r="BZ4" s="30">
        <f t="shared" ref="BZ4" si="12">BY4+1</f>
        <v>45400</v>
      </c>
      <c r="CA4" s="30">
        <f t="shared" ref="CA4" si="13">BZ4+1</f>
        <v>45401</v>
      </c>
      <c r="CB4" s="30">
        <f t="shared" ref="CB4" si="14">CA4+1</f>
        <v>45402</v>
      </c>
      <c r="CC4" s="38">
        <f t="shared" ref="CC4" si="15">CB4+1</f>
        <v>45403</v>
      </c>
    </row>
    <row r="5" spans="1:86" s="1" customFormat="1" ht="18.600000000000001" customHeight="1" thickBot="1" x14ac:dyDescent="0.3">
      <c r="A5" s="55" t="s">
        <v>0</v>
      </c>
      <c r="B5" s="55"/>
      <c r="C5" s="55" t="s">
        <v>10</v>
      </c>
      <c r="D5" s="56" t="s">
        <v>11</v>
      </c>
      <c r="E5" s="57" t="s">
        <v>17</v>
      </c>
      <c r="F5" s="58" t="s">
        <v>12</v>
      </c>
      <c r="G5" s="58" t="s">
        <v>13</v>
      </c>
      <c r="H5" s="56" t="s">
        <v>14</v>
      </c>
      <c r="I5" s="56" t="s">
        <v>15</v>
      </c>
      <c r="J5" s="56" t="s">
        <v>16</v>
      </c>
      <c r="K5" s="56"/>
      <c r="L5" s="59" t="str">
        <f t="shared" ref="L5:AQ5" si="16">CHOOSE(WEEKDAY(L4,1),"S","M","T","W","T","F","S")</f>
        <v>M</v>
      </c>
      <c r="M5" s="60" t="str">
        <f t="shared" si="16"/>
        <v>T</v>
      </c>
      <c r="N5" s="60" t="str">
        <f t="shared" si="16"/>
        <v>W</v>
      </c>
      <c r="O5" s="60" t="str">
        <f t="shared" si="16"/>
        <v>T</v>
      </c>
      <c r="P5" s="60" t="str">
        <f t="shared" si="16"/>
        <v>F</v>
      </c>
      <c r="Q5" s="60" t="str">
        <f t="shared" si="16"/>
        <v>S</v>
      </c>
      <c r="R5" s="61" t="str">
        <f t="shared" si="16"/>
        <v>S</v>
      </c>
      <c r="S5" s="59" t="str">
        <f t="shared" si="16"/>
        <v>M</v>
      </c>
      <c r="T5" s="60" t="str">
        <f t="shared" si="16"/>
        <v>T</v>
      </c>
      <c r="U5" s="60" t="str">
        <f t="shared" si="16"/>
        <v>W</v>
      </c>
      <c r="V5" s="60" t="str">
        <f t="shared" si="16"/>
        <v>T</v>
      </c>
      <c r="W5" s="60" t="str">
        <f t="shared" si="16"/>
        <v>F</v>
      </c>
      <c r="X5" s="60" t="str">
        <f t="shared" si="16"/>
        <v>S</v>
      </c>
      <c r="Y5" s="61" t="str">
        <f t="shared" si="16"/>
        <v>S</v>
      </c>
      <c r="Z5" s="59" t="str">
        <f t="shared" si="16"/>
        <v>M</v>
      </c>
      <c r="AA5" s="60" t="str">
        <f t="shared" si="16"/>
        <v>T</v>
      </c>
      <c r="AB5" s="60" t="str">
        <f t="shared" si="16"/>
        <v>W</v>
      </c>
      <c r="AC5" s="60" t="str">
        <f t="shared" si="16"/>
        <v>T</v>
      </c>
      <c r="AD5" s="60" t="str">
        <f t="shared" si="16"/>
        <v>F</v>
      </c>
      <c r="AE5" s="60" t="str">
        <f t="shared" si="16"/>
        <v>S</v>
      </c>
      <c r="AF5" s="61" t="str">
        <f t="shared" si="16"/>
        <v>S</v>
      </c>
      <c r="AG5" s="59" t="str">
        <f t="shared" si="16"/>
        <v>M</v>
      </c>
      <c r="AH5" s="60" t="str">
        <f t="shared" si="16"/>
        <v>T</v>
      </c>
      <c r="AI5" s="60" t="str">
        <f t="shared" si="16"/>
        <v>W</v>
      </c>
      <c r="AJ5" s="60" t="str">
        <f t="shared" si="16"/>
        <v>T</v>
      </c>
      <c r="AK5" s="60" t="str">
        <f t="shared" si="16"/>
        <v>F</v>
      </c>
      <c r="AL5" s="60" t="str">
        <f t="shared" si="16"/>
        <v>S</v>
      </c>
      <c r="AM5" s="61" t="str">
        <f t="shared" si="16"/>
        <v>S</v>
      </c>
      <c r="AN5" s="59" t="str">
        <f t="shared" si="16"/>
        <v>M</v>
      </c>
      <c r="AO5" s="60" t="str">
        <f t="shared" si="16"/>
        <v>T</v>
      </c>
      <c r="AP5" s="60" t="str">
        <f t="shared" si="16"/>
        <v>W</v>
      </c>
      <c r="AQ5" s="60" t="str">
        <f t="shared" si="16"/>
        <v>T</v>
      </c>
      <c r="AR5" s="60" t="str">
        <f t="shared" ref="AR5:BO5" si="17">CHOOSE(WEEKDAY(AR4,1),"S","M","T","W","T","F","S")</f>
        <v>F</v>
      </c>
      <c r="AS5" s="60" t="str">
        <f t="shared" si="17"/>
        <v>S</v>
      </c>
      <c r="AT5" s="61" t="str">
        <f t="shared" si="17"/>
        <v>S</v>
      </c>
      <c r="AU5" s="59" t="str">
        <f t="shared" si="17"/>
        <v>M</v>
      </c>
      <c r="AV5" s="60" t="str">
        <f t="shared" si="17"/>
        <v>T</v>
      </c>
      <c r="AW5" s="60" t="str">
        <f t="shared" si="17"/>
        <v>W</v>
      </c>
      <c r="AX5" s="60" t="str">
        <f t="shared" si="17"/>
        <v>T</v>
      </c>
      <c r="AY5" s="60" t="str">
        <f t="shared" si="17"/>
        <v>F</v>
      </c>
      <c r="AZ5" s="60" t="str">
        <f t="shared" si="17"/>
        <v>S</v>
      </c>
      <c r="BA5" s="61" t="str">
        <f t="shared" si="17"/>
        <v>S</v>
      </c>
      <c r="BB5" s="59" t="str">
        <f t="shared" si="17"/>
        <v>M</v>
      </c>
      <c r="BC5" s="60" t="str">
        <f t="shared" si="17"/>
        <v>T</v>
      </c>
      <c r="BD5" s="60" t="str">
        <f t="shared" si="17"/>
        <v>W</v>
      </c>
      <c r="BE5" s="60" t="str">
        <f t="shared" si="17"/>
        <v>T</v>
      </c>
      <c r="BF5" s="60" t="str">
        <f t="shared" si="17"/>
        <v>F</v>
      </c>
      <c r="BG5" s="60" t="str">
        <f t="shared" si="17"/>
        <v>S</v>
      </c>
      <c r="BH5" s="61" t="str">
        <f t="shared" si="17"/>
        <v>S</v>
      </c>
      <c r="BI5" s="59" t="str">
        <f t="shared" si="17"/>
        <v>M</v>
      </c>
      <c r="BJ5" s="60" t="str">
        <f t="shared" si="17"/>
        <v>T</v>
      </c>
      <c r="BK5" s="60" t="str">
        <f t="shared" si="17"/>
        <v>W</v>
      </c>
      <c r="BL5" s="60" t="str">
        <f t="shared" si="17"/>
        <v>T</v>
      </c>
      <c r="BM5" s="60" t="str">
        <f t="shared" si="17"/>
        <v>F</v>
      </c>
      <c r="BN5" s="60" t="str">
        <f t="shared" si="17"/>
        <v>S</v>
      </c>
      <c r="BO5" s="61" t="str">
        <f t="shared" si="17"/>
        <v>S</v>
      </c>
      <c r="BP5" s="59" t="str">
        <f t="shared" ref="BP5:CC5" si="18">CHOOSE(WEEKDAY(BP4,1),"S","M","T","W","T","F","S")</f>
        <v>M</v>
      </c>
      <c r="BQ5" s="60" t="str">
        <f t="shared" si="18"/>
        <v>T</v>
      </c>
      <c r="BR5" s="60" t="str">
        <f t="shared" si="18"/>
        <v>W</v>
      </c>
      <c r="BS5" s="60" t="str">
        <f t="shared" si="18"/>
        <v>T</v>
      </c>
      <c r="BT5" s="60" t="str">
        <f t="shared" si="18"/>
        <v>F</v>
      </c>
      <c r="BU5" s="60" t="str">
        <f t="shared" si="18"/>
        <v>S</v>
      </c>
      <c r="BV5" s="61" t="str">
        <f t="shared" si="18"/>
        <v>S</v>
      </c>
      <c r="BW5" s="59" t="str">
        <f t="shared" si="18"/>
        <v>M</v>
      </c>
      <c r="BX5" s="60" t="str">
        <f t="shared" si="18"/>
        <v>T</v>
      </c>
      <c r="BY5" s="60" t="str">
        <f t="shared" si="18"/>
        <v>W</v>
      </c>
      <c r="BZ5" s="60" t="str">
        <f t="shared" si="18"/>
        <v>T</v>
      </c>
      <c r="CA5" s="60" t="str">
        <f t="shared" si="18"/>
        <v>F</v>
      </c>
      <c r="CB5" s="60" t="str">
        <f t="shared" si="18"/>
        <v>S</v>
      </c>
      <c r="CC5" s="61" t="str">
        <f t="shared" si="18"/>
        <v>S</v>
      </c>
      <c r="CH5" s="96"/>
    </row>
    <row r="6" spans="1:86" s="5" customFormat="1" ht="17.399999999999999" x14ac:dyDescent="0.25">
      <c r="A6" s="75" t="str">
        <f>IF(ISERROR(VALUE(SUBSTITUTE(prevWBS,".",""))),"1",IF(ISERROR(FIND("`",SUBSTITUTE(prevWBS,".","`",1))),TEXT(VALUE(prevWBS)+1,"#"),TEXT(VALUE(LEFT(prevWBS,FIND("`",SUBSTITUTE(prevWBS,".","`",1))-1))+1,"#")))</f>
        <v>1</v>
      </c>
      <c r="B6" s="104" cm="1">
        <f t="array" ref="B6">FindColor(A6)</f>
        <v>15</v>
      </c>
      <c r="C6" s="75" t="s">
        <v>23</v>
      </c>
      <c r="D6" s="31"/>
      <c r="E6" s="32"/>
      <c r="F6" s="33"/>
      <c r="G6" s="54" t="str">
        <f>IF(ISBLANK(F6)," - ",IF(H6=0,F6,F6+H6-1))</f>
        <v xml:space="preserve"> - </v>
      </c>
      <c r="H6" s="34"/>
      <c r="I6" s="35"/>
      <c r="J6" s="36" t="str">
        <f t="shared" ref="J6:J91" si="19">IF(OR(G6=0,F6=0)," - ",NETWORKDAYS(F6,G6))</f>
        <v xml:space="preserve"> - </v>
      </c>
      <c r="K6" s="39"/>
      <c r="L6" s="50"/>
      <c r="M6" s="50"/>
      <c r="N6" s="50"/>
      <c r="O6" s="50"/>
      <c r="P6" s="50"/>
      <c r="Q6" s="50"/>
      <c r="R6" s="50"/>
      <c r="S6" s="74"/>
      <c r="T6" s="74"/>
      <c r="U6" s="120"/>
      <c r="V6" s="12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0"/>
      <c r="CA6" s="50"/>
      <c r="CB6" s="50"/>
      <c r="CC6" s="50"/>
      <c r="CH6" s="97"/>
    </row>
    <row r="7" spans="1:86" s="11" customFormat="1" ht="17.399999999999999" x14ac:dyDescent="0.25">
      <c r="A7"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7" s="104" cm="1">
        <f t="array" ref="B7">FindColor(A7)</f>
        <v>35</v>
      </c>
      <c r="C7" s="63" t="s">
        <v>24</v>
      </c>
      <c r="D7" s="11" t="s">
        <v>5</v>
      </c>
      <c r="E7" s="64"/>
      <c r="F7" s="44">
        <v>43129</v>
      </c>
      <c r="G7" s="45">
        <f>IF(ISBLANK(F7)," - ",IF(H7=0,F7,F7+H7-1))</f>
        <v>43133</v>
      </c>
      <c r="H7" s="12">
        <v>5</v>
      </c>
      <c r="I7" s="13">
        <v>1</v>
      </c>
      <c r="J7" s="14">
        <f t="shared" si="19"/>
        <v>5</v>
      </c>
      <c r="K7" s="40"/>
      <c r="L7" s="10"/>
      <c r="M7" s="10"/>
      <c r="N7" s="10"/>
      <c r="O7" s="10"/>
      <c r="P7" s="10"/>
      <c r="Q7" s="10"/>
      <c r="R7" s="10"/>
      <c r="S7" s="74"/>
      <c r="T7" s="74"/>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0"/>
      <c r="BS7" s="10"/>
      <c r="BT7" s="10"/>
      <c r="BU7" s="10"/>
      <c r="BV7" s="10"/>
      <c r="BW7" s="10"/>
      <c r="BX7" s="10"/>
      <c r="BY7" s="10"/>
      <c r="BZ7" s="10"/>
      <c r="CA7" s="10"/>
      <c r="CB7" s="10"/>
      <c r="CC7" s="10"/>
      <c r="CH7" s="98"/>
    </row>
    <row r="8" spans="1:86" s="11" customFormat="1" ht="17.399999999999999" x14ac:dyDescent="0.25">
      <c r="A8"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8" s="104" cm="1">
        <f t="array" ref="B8">FindColor(A8)</f>
        <v>24</v>
      </c>
      <c r="C8" s="129" t="s">
        <v>27</v>
      </c>
      <c r="E8" s="67"/>
      <c r="F8" s="68"/>
      <c r="G8" s="69"/>
      <c r="H8" s="70"/>
      <c r="I8" s="71"/>
      <c r="J8" s="72"/>
      <c r="K8" s="73"/>
      <c r="L8" s="10"/>
      <c r="M8" s="10"/>
      <c r="N8" s="10"/>
      <c r="O8" s="10"/>
      <c r="P8" s="10"/>
      <c r="Q8" s="10"/>
      <c r="R8" s="10"/>
      <c r="S8" s="74"/>
      <c r="T8" s="74"/>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c r="CA8" s="10"/>
      <c r="CB8" s="10"/>
      <c r="CC8" s="10"/>
      <c r="CH8" s="98"/>
    </row>
    <row r="9" spans="1:86" s="11" customFormat="1" ht="17.399999999999999" x14ac:dyDescent="0.25">
      <c r="A9"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v>
      </c>
      <c r="B9" s="104" cm="1">
        <f t="array" ref="B9">FindColor(A9)</f>
        <v>35</v>
      </c>
      <c r="C9" s="63" t="s">
        <v>25</v>
      </c>
      <c r="E9" s="67"/>
      <c r="F9" s="68"/>
      <c r="G9" s="69"/>
      <c r="H9" s="70"/>
      <c r="I9" s="71"/>
      <c r="J9" s="72"/>
      <c r="K9" s="73"/>
      <c r="L9" s="10"/>
      <c r="M9" s="10"/>
      <c r="N9" s="10"/>
      <c r="O9" s="10"/>
      <c r="P9" s="10"/>
      <c r="Q9" s="10"/>
      <c r="R9" s="10"/>
      <c r="S9" s="10"/>
      <c r="T9" s="74"/>
      <c r="U9" s="74"/>
      <c r="V9" s="74"/>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c r="BI9" s="10"/>
      <c r="BJ9" s="10"/>
      <c r="BK9" s="10"/>
      <c r="BL9" s="10"/>
      <c r="BM9" s="10"/>
      <c r="BN9" s="10"/>
      <c r="BO9" s="10"/>
      <c r="BP9" s="10"/>
      <c r="BQ9" s="10"/>
      <c r="BR9" s="10"/>
      <c r="BS9" s="10"/>
      <c r="BT9" s="10"/>
      <c r="BU9" s="10"/>
      <c r="BV9" s="10"/>
      <c r="BW9" s="10"/>
      <c r="BX9" s="10"/>
      <c r="BY9" s="10"/>
      <c r="BZ9" s="10"/>
      <c r="CA9" s="10"/>
      <c r="CB9" s="10"/>
      <c r="CC9" s="10"/>
      <c r="CH9" s="98"/>
    </row>
    <row r="10" spans="1:86" s="11" customFormat="1" ht="17.399999999999999" x14ac:dyDescent="0.25">
      <c r="A10"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v>
      </c>
      <c r="B10" s="104" cm="1">
        <f t="array" ref="B10">FindColor(A10)</f>
        <v>24</v>
      </c>
      <c r="C10" s="129" t="s">
        <v>36</v>
      </c>
      <c r="E10" s="67"/>
      <c r="F10" s="68"/>
      <c r="G10" s="69"/>
      <c r="H10" s="70"/>
      <c r="I10" s="71"/>
      <c r="J10" s="72"/>
      <c r="K10" s="73"/>
      <c r="L10" s="10"/>
      <c r="M10" s="10"/>
      <c r="N10" s="10"/>
      <c r="O10" s="10"/>
      <c r="P10" s="10"/>
      <c r="Q10" s="10"/>
      <c r="R10" s="10"/>
      <c r="S10" s="10"/>
      <c r="T10" s="74"/>
      <c r="U10" s="74"/>
      <c r="V10" s="74"/>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0"/>
      <c r="BS10" s="10"/>
      <c r="BT10" s="10"/>
      <c r="BU10" s="10"/>
      <c r="BV10" s="10"/>
      <c r="BW10" s="10"/>
      <c r="BX10" s="10"/>
      <c r="BY10" s="10"/>
      <c r="BZ10" s="10"/>
      <c r="CA10" s="10"/>
      <c r="CB10" s="10"/>
      <c r="CC10" s="10"/>
      <c r="CH10" s="98"/>
    </row>
    <row r="11" spans="1:86" s="11" customFormat="1" ht="17.399999999999999" x14ac:dyDescent="0.25">
      <c r="A11"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v>
      </c>
      <c r="B11" s="104" cm="1">
        <f t="array" ref="B11">FindColor(A11)</f>
        <v>35</v>
      </c>
      <c r="C11" s="63" t="s">
        <v>26</v>
      </c>
      <c r="E11" s="67"/>
      <c r="F11" s="68"/>
      <c r="G11" s="69"/>
      <c r="H11" s="70"/>
      <c r="I11" s="71"/>
      <c r="J11" s="72"/>
      <c r="K11" s="73"/>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c r="CA11" s="10"/>
      <c r="CB11" s="10"/>
      <c r="CC11" s="10"/>
      <c r="CH11" s="98"/>
    </row>
    <row r="12" spans="1:86" s="5" customFormat="1" ht="17.399999999999999" x14ac:dyDescent="0.25">
      <c r="A12" s="4" t="str">
        <f>IF(ISERROR(VALUE(SUBSTITUTE(prevWBS,".",""))),"1",IF(ISERROR(FIND("`",SUBSTITUTE(prevWBS,".","`",1))),TEXT(VALUE(prevWBS)+1,"#"),TEXT(VALUE(LEFT(prevWBS,FIND("`",SUBSTITUTE(prevWBS,".","`",1))-1))+1,"#")))</f>
        <v>2</v>
      </c>
      <c r="B12" s="104" cm="1">
        <f t="array" ref="B12">FindColor(A12)</f>
        <v>15</v>
      </c>
      <c r="C12" s="76" t="s">
        <v>58</v>
      </c>
      <c r="E12" s="6"/>
      <c r="F12" s="46"/>
      <c r="G12" s="46" t="str">
        <f t="shared" ref="G12:G14" si="20">IF(ISBLANK(F12)," - ",IF(H12=0,F12,F12+H12-1))</f>
        <v xml:space="preserve"> - </v>
      </c>
      <c r="H12" s="7"/>
      <c r="I12" s="8"/>
      <c r="J12" s="9" t="str">
        <f t="shared" ref="J12:J14" si="21">IF(OR(G12=0,F12=0)," - ",NETWORKDAYS(F12,G12))</f>
        <v xml:space="preserve"> - </v>
      </c>
      <c r="K12" s="41"/>
      <c r="L12" s="51"/>
      <c r="M12" s="51"/>
      <c r="N12" s="51"/>
      <c r="O12" s="51"/>
      <c r="P12" s="51"/>
      <c r="Q12" s="51"/>
      <c r="R12" s="51"/>
      <c r="S12" s="51"/>
      <c r="T12" s="51"/>
      <c r="U12" s="51"/>
      <c r="V12" s="51"/>
      <c r="W12" s="74"/>
      <c r="X12" s="74"/>
      <c r="Y12" s="74"/>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1"/>
      <c r="CA12" s="51"/>
      <c r="CB12" s="51"/>
      <c r="CC12" s="51"/>
      <c r="CH12" s="97"/>
    </row>
    <row r="13" spans="1:86" s="11" customFormat="1" ht="17.399999999999999" x14ac:dyDescent="0.25">
      <c r="A13"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13" s="104" cm="1">
        <f t="array" ref="B13">FindColor(A13)</f>
        <v>35</v>
      </c>
      <c r="C13" s="128" t="s">
        <v>59</v>
      </c>
      <c r="E13" s="64"/>
      <c r="F13" s="44">
        <v>43129</v>
      </c>
      <c r="G13" s="45">
        <f t="shared" si="20"/>
        <v>43129</v>
      </c>
      <c r="H13" s="12">
        <v>1</v>
      </c>
      <c r="I13" s="13">
        <v>0</v>
      </c>
      <c r="J13" s="14">
        <f t="shared" si="21"/>
        <v>1</v>
      </c>
      <c r="K13" s="40"/>
      <c r="L13" s="10"/>
      <c r="M13" s="10"/>
      <c r="N13" s="10"/>
      <c r="O13" s="10"/>
      <c r="P13" s="10"/>
      <c r="Q13" s="10"/>
      <c r="R13" s="10"/>
      <c r="S13" s="10"/>
      <c r="T13" s="10"/>
      <c r="U13" s="10"/>
      <c r="V13" s="10"/>
      <c r="W13" s="74"/>
      <c r="X13" s="74"/>
      <c r="Y13" s="74"/>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c r="CA13" s="10"/>
      <c r="CB13" s="10"/>
      <c r="CC13" s="10"/>
      <c r="CH13" s="98"/>
    </row>
    <row r="14" spans="1:86" s="11" customFormat="1" ht="17.399999999999999" x14ac:dyDescent="0.25">
      <c r="A14"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14" s="104" cm="1">
        <f t="array" ref="B14">FindColor(A14)</f>
        <v>24</v>
      </c>
      <c r="C14" s="129" t="s">
        <v>60</v>
      </c>
      <c r="E14" s="64"/>
      <c r="F14" s="44">
        <v>43129</v>
      </c>
      <c r="G14" s="45">
        <f t="shared" si="20"/>
        <v>43129</v>
      </c>
      <c r="H14" s="12">
        <v>1</v>
      </c>
      <c r="I14" s="13">
        <v>0</v>
      </c>
      <c r="J14" s="14">
        <f t="shared" si="21"/>
        <v>1</v>
      </c>
      <c r="K14" s="40"/>
      <c r="L14" s="10"/>
      <c r="M14" s="10"/>
      <c r="N14" s="10"/>
      <c r="O14" s="10"/>
      <c r="P14" s="10"/>
      <c r="Q14" s="10"/>
      <c r="R14" s="10"/>
      <c r="S14" s="10"/>
      <c r="T14" s="10"/>
      <c r="U14" s="10"/>
      <c r="V14" s="10"/>
      <c r="W14" s="74"/>
      <c r="X14" s="74"/>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c r="CC14" s="10"/>
      <c r="CH14" s="98"/>
    </row>
    <row r="15" spans="1:86" s="11" customFormat="1" ht="17.399999999999999" x14ac:dyDescent="0.25">
      <c r="A15"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2.1.2</v>
      </c>
      <c r="B15" s="104" cm="1">
        <f t="array" ref="B15">FindColor(A15)</f>
        <v>24</v>
      </c>
      <c r="C15" s="129" t="s">
        <v>61</v>
      </c>
      <c r="E15" s="64"/>
      <c r="F15" s="44">
        <v>43129</v>
      </c>
      <c r="G15" s="45">
        <f t="shared" ref="G15:G17" si="22">IF(ISBLANK(F15)," - ",IF(H15=0,F15,F15+H15-1))</f>
        <v>43129</v>
      </c>
      <c r="H15" s="12">
        <v>1</v>
      </c>
      <c r="I15" s="13">
        <v>0</v>
      </c>
      <c r="J15" s="14">
        <f t="shared" ref="J15:J17" si="23">IF(OR(G15=0,F15=0)," - ",NETWORKDAYS(F15,G15))</f>
        <v>1</v>
      </c>
      <c r="K15" s="40"/>
      <c r="L15" s="10"/>
      <c r="M15" s="10"/>
      <c r="N15" s="10"/>
      <c r="O15" s="10"/>
      <c r="P15" s="10"/>
      <c r="Q15" s="10"/>
      <c r="R15" s="10"/>
      <c r="S15" s="10"/>
      <c r="T15" s="10"/>
      <c r="U15" s="10"/>
      <c r="V15" s="10"/>
      <c r="W15" s="10"/>
      <c r="X15" s="74"/>
      <c r="Y15" s="74"/>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c r="CA15" s="10"/>
      <c r="CB15" s="10"/>
      <c r="CC15" s="10"/>
      <c r="CH15" s="98"/>
    </row>
    <row r="16" spans="1:86" s="11" customFormat="1" ht="17.399999999999999" x14ac:dyDescent="0.25">
      <c r="A16"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2.1.3</v>
      </c>
      <c r="B16" s="104" cm="1">
        <f t="array" ref="B16">FindColor(A16)</f>
        <v>24</v>
      </c>
      <c r="C16" s="129" t="s">
        <v>62</v>
      </c>
      <c r="E16" s="64"/>
      <c r="F16" s="44">
        <v>43129</v>
      </c>
      <c r="G16" s="45">
        <f t="shared" ref="G16" si="24">IF(ISBLANK(F16)," - ",IF(H16=0,F16,F16+H16-1))</f>
        <v>43129</v>
      </c>
      <c r="H16" s="12">
        <v>1</v>
      </c>
      <c r="I16" s="13">
        <v>0</v>
      </c>
      <c r="J16" s="14">
        <f t="shared" ref="J16" si="25">IF(OR(G16=0,F16=0)," - ",NETWORKDAYS(F16,G16))</f>
        <v>1</v>
      </c>
      <c r="K16" s="40"/>
      <c r="L16" s="10"/>
      <c r="M16" s="10"/>
      <c r="N16" s="10"/>
      <c r="O16" s="10"/>
      <c r="P16" s="10"/>
      <c r="Q16" s="10"/>
      <c r="R16" s="10"/>
      <c r="S16" s="10"/>
      <c r="T16" s="10"/>
      <c r="U16" s="10"/>
      <c r="V16" s="10"/>
      <c r="W16" s="10"/>
      <c r="X16" s="74"/>
      <c r="Y16" s="74"/>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0"/>
      <c r="BS16" s="10"/>
      <c r="BT16" s="10"/>
      <c r="BU16" s="10"/>
      <c r="BV16" s="10"/>
      <c r="BW16" s="10"/>
      <c r="BX16" s="10"/>
      <c r="BY16" s="10"/>
      <c r="BZ16" s="10"/>
      <c r="CA16" s="10"/>
      <c r="CB16" s="10"/>
      <c r="CC16" s="10"/>
      <c r="CH16" s="98"/>
    </row>
    <row r="17" spans="1:86" s="11" customFormat="1" ht="17.399999999999999" x14ac:dyDescent="0.25">
      <c r="A17"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2.1.4</v>
      </c>
      <c r="B17" s="104" cm="1">
        <f t="array" ref="B17">FindColor(A17)</f>
        <v>24</v>
      </c>
      <c r="C17" s="129" t="s">
        <v>63</v>
      </c>
      <c r="E17" s="64"/>
      <c r="F17" s="44">
        <v>43129</v>
      </c>
      <c r="G17" s="45">
        <f t="shared" si="22"/>
        <v>43129</v>
      </c>
      <c r="H17" s="12">
        <v>1</v>
      </c>
      <c r="I17" s="13">
        <v>0</v>
      </c>
      <c r="J17" s="14">
        <f t="shared" si="23"/>
        <v>1</v>
      </c>
      <c r="K17" s="40"/>
      <c r="L17" s="10"/>
      <c r="M17" s="10"/>
      <c r="N17" s="10"/>
      <c r="O17" s="10"/>
      <c r="P17" s="10"/>
      <c r="Q17" s="10"/>
      <c r="R17" s="10"/>
      <c r="S17" s="10"/>
      <c r="T17" s="10"/>
      <c r="U17" s="10"/>
      <c r="V17" s="10"/>
      <c r="W17" s="10"/>
      <c r="X17" s="10"/>
      <c r="Y17" s="74"/>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c r="CA17" s="10"/>
      <c r="CB17" s="10"/>
      <c r="CC17" s="10"/>
      <c r="CH17" s="98"/>
    </row>
    <row r="18" spans="1:86" s="11" customFormat="1" ht="17.399999999999999" x14ac:dyDescent="0.25">
      <c r="A18"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2.1.5</v>
      </c>
      <c r="B18" s="104" cm="1">
        <f t="array" ref="B18">FindColor(A18)</f>
        <v>24</v>
      </c>
      <c r="C18" s="129" t="s">
        <v>64</v>
      </c>
      <c r="E18" s="64"/>
      <c r="F18" s="44">
        <v>43129</v>
      </c>
      <c r="G18" s="45">
        <f t="shared" ref="G18" si="26">IF(ISBLANK(F18)," - ",IF(H18=0,F18,F18+H18-1))</f>
        <v>43129</v>
      </c>
      <c r="H18" s="12">
        <v>1</v>
      </c>
      <c r="I18" s="13">
        <v>0</v>
      </c>
      <c r="J18" s="14">
        <f t="shared" ref="J18" si="27">IF(OR(G18=0,F18=0)," - ",NETWORKDAYS(F18,G18))</f>
        <v>1</v>
      </c>
      <c r="K18" s="40"/>
      <c r="L18" s="10"/>
      <c r="M18" s="10"/>
      <c r="N18" s="10"/>
      <c r="O18" s="10"/>
      <c r="P18" s="10"/>
      <c r="Q18" s="10"/>
      <c r="R18" s="10"/>
      <c r="S18" s="10"/>
      <c r="T18" s="10"/>
      <c r="U18" s="10"/>
      <c r="V18" s="10"/>
      <c r="W18" s="10"/>
      <c r="X18" s="10"/>
      <c r="Y18" s="74"/>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c r="CC18" s="10"/>
      <c r="CH18" s="98"/>
    </row>
    <row r="19" spans="1:86" s="5" customFormat="1" ht="17.399999999999999" x14ac:dyDescent="0.25">
      <c r="A19" s="4" t="str">
        <f>IF(ISERROR(VALUE(SUBSTITUTE(prevWBS,".",""))),"1",IF(ISERROR(FIND("`",SUBSTITUTE(prevWBS,".","`",1))),TEXT(VALUE(prevWBS)+1,"#"),TEXT(VALUE(LEFT(prevWBS,FIND("`",SUBSTITUTE(prevWBS,".","`",1))-1))+1,"#")))</f>
        <v>3</v>
      </c>
      <c r="B19" s="104" cm="1">
        <f t="array" ref="B19">FindColor(A19)</f>
        <v>15</v>
      </c>
      <c r="C19" s="76" t="s">
        <v>54</v>
      </c>
      <c r="E19" s="6"/>
      <c r="F19" s="46"/>
      <c r="G19" s="46" t="str">
        <f t="shared" ref="G19:G22" si="28">IF(ISBLANK(F19)," - ",IF(H19=0,F19,F19+H19-1))</f>
        <v xml:space="preserve"> - </v>
      </c>
      <c r="H19" s="7"/>
      <c r="I19" s="8"/>
      <c r="J19" s="9" t="str">
        <f t="shared" ref="J19:J22" si="29">IF(OR(G19=0,F19=0)," - ",NETWORKDAYS(F19,G19))</f>
        <v xml:space="preserve"> - </v>
      </c>
      <c r="K19" s="41"/>
      <c r="L19" s="51"/>
      <c r="M19" s="51"/>
      <c r="N19" s="51"/>
      <c r="O19" s="51"/>
      <c r="P19" s="51"/>
      <c r="Q19" s="51"/>
      <c r="R19" s="51"/>
      <c r="S19" s="51"/>
      <c r="T19" s="51"/>
      <c r="U19" s="51"/>
      <c r="V19" s="74"/>
      <c r="W19" s="51"/>
      <c r="X19" s="51"/>
      <c r="Y19" s="51"/>
      <c r="Z19" s="74"/>
      <c r="AA19" s="74"/>
      <c r="AB19" s="51"/>
      <c r="AC19" s="74"/>
      <c r="AD19" s="74"/>
      <c r="AE19" s="51"/>
      <c r="AF19" s="51"/>
      <c r="AG19" s="51"/>
      <c r="AH19" s="51"/>
      <c r="AI19" s="74"/>
      <c r="AJ19" s="74"/>
      <c r="AK19" s="74"/>
      <c r="AL19" s="51"/>
      <c r="AM19" s="74"/>
      <c r="AN19" s="74"/>
      <c r="AO19" s="74"/>
      <c r="AP19" s="51"/>
      <c r="AQ19" s="51"/>
      <c r="AR19" s="51"/>
      <c r="AS19" s="51"/>
      <c r="AT19" s="51"/>
      <c r="AU19" s="51"/>
      <c r="AV19" s="51"/>
      <c r="AW19" s="74"/>
      <c r="AX19" s="74"/>
      <c r="AY19" s="74"/>
      <c r="AZ19" s="74"/>
      <c r="BA19" s="74"/>
      <c r="BB19" s="74"/>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1"/>
      <c r="CA19" s="51"/>
      <c r="CB19" s="51"/>
      <c r="CC19" s="51"/>
      <c r="CH19" s="97"/>
    </row>
    <row r="20" spans="1:86" s="11" customFormat="1" ht="17.399999999999999" x14ac:dyDescent="0.25">
      <c r="A20"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20" s="104" cm="1">
        <f t="array" ref="B20">FindColor(A20)</f>
        <v>35</v>
      </c>
      <c r="C20" s="63" t="s">
        <v>55</v>
      </c>
      <c r="E20" s="64"/>
      <c r="F20" s="44">
        <v>43129</v>
      </c>
      <c r="G20" s="45">
        <f t="shared" si="28"/>
        <v>43129</v>
      </c>
      <c r="H20" s="12">
        <v>1</v>
      </c>
      <c r="I20" s="13">
        <v>0</v>
      </c>
      <c r="J20" s="14">
        <f t="shared" si="29"/>
        <v>1</v>
      </c>
      <c r="K20" s="40"/>
      <c r="L20" s="10"/>
      <c r="M20" s="10"/>
      <c r="N20" s="10"/>
      <c r="O20" s="10"/>
      <c r="P20" s="10"/>
      <c r="Q20" s="10"/>
      <c r="R20" s="10"/>
      <c r="S20" s="10"/>
      <c r="T20" s="10"/>
      <c r="U20" s="10"/>
      <c r="V20" s="74"/>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c r="CA20" s="10"/>
      <c r="CB20" s="10"/>
      <c r="CC20" s="10"/>
      <c r="CH20" s="98"/>
    </row>
    <row r="21" spans="1:86" s="11" customFormat="1" ht="17.399999999999999" x14ac:dyDescent="0.25">
      <c r="A21"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3.1.1</v>
      </c>
      <c r="B21" s="104" cm="1">
        <f t="array" ref="B21">FindColor(A21)</f>
        <v>24</v>
      </c>
      <c r="C21" s="83" t="s">
        <v>56</v>
      </c>
      <c r="E21" s="64"/>
      <c r="F21" s="44">
        <v>43129</v>
      </c>
      <c r="G21" s="45">
        <f t="shared" si="28"/>
        <v>43129</v>
      </c>
      <c r="H21" s="12">
        <v>1</v>
      </c>
      <c r="I21" s="13">
        <v>0</v>
      </c>
      <c r="J21" s="14">
        <f t="shared" si="29"/>
        <v>1</v>
      </c>
      <c r="K21" s="40"/>
      <c r="L21" s="10"/>
      <c r="M21" s="10"/>
      <c r="N21" s="10"/>
      <c r="O21" s="10"/>
      <c r="P21" s="10"/>
      <c r="Q21" s="10"/>
      <c r="R21" s="10"/>
      <c r="S21" s="10"/>
      <c r="T21" s="10"/>
      <c r="U21" s="10"/>
      <c r="V21" s="74"/>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c r="CA21" s="10"/>
      <c r="CB21" s="10"/>
      <c r="CC21" s="10"/>
      <c r="CH21" s="98"/>
    </row>
    <row r="22" spans="1:86" s="11" customFormat="1" ht="17.399999999999999" x14ac:dyDescent="0.25">
      <c r="A22"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3.2</v>
      </c>
      <c r="B22" s="104" cm="1">
        <f t="array" ref="B22">FindColor(A22)</f>
        <v>35</v>
      </c>
      <c r="C22" s="78" t="s">
        <v>65</v>
      </c>
      <c r="E22" s="64"/>
      <c r="F22" s="44">
        <v>43129</v>
      </c>
      <c r="G22" s="45">
        <f t="shared" si="28"/>
        <v>43129</v>
      </c>
      <c r="H22" s="12">
        <v>1</v>
      </c>
      <c r="I22" s="13">
        <v>0</v>
      </c>
      <c r="J22" s="14">
        <f t="shared" si="29"/>
        <v>1</v>
      </c>
      <c r="K22" s="40"/>
      <c r="L22" s="10"/>
      <c r="M22" s="10"/>
      <c r="N22" s="10"/>
      <c r="O22" s="10"/>
      <c r="P22" s="10"/>
      <c r="Q22" s="10"/>
      <c r="R22" s="10"/>
      <c r="S22" s="10"/>
      <c r="T22" s="10"/>
      <c r="U22" s="10"/>
      <c r="V22" s="10"/>
      <c r="W22" s="10"/>
      <c r="X22" s="10"/>
      <c r="Y22" s="10"/>
      <c r="Z22" s="74"/>
      <c r="AA22" s="74"/>
      <c r="AB22" s="10"/>
      <c r="AC22" s="74"/>
      <c r="AD22" s="74"/>
      <c r="AE22" s="10"/>
      <c r="AF22" s="10"/>
      <c r="AG22" s="10"/>
      <c r="AH22" s="10"/>
      <c r="AI22" s="74"/>
      <c r="AJ22" s="74"/>
      <c r="AK22" s="74"/>
      <c r="AL22" s="10"/>
      <c r="AM22" s="74"/>
      <c r="AN22" s="74"/>
      <c r="AO22" s="74"/>
      <c r="AP22" s="10"/>
      <c r="AQ22" s="10"/>
      <c r="AR22" s="10"/>
      <c r="AS22" s="10"/>
      <c r="AT22" s="10"/>
      <c r="AU22" s="10"/>
      <c r="AV22" s="10"/>
      <c r="AW22" s="74"/>
      <c r="AX22" s="74"/>
      <c r="AY22" s="74"/>
      <c r="AZ22" s="74"/>
      <c r="BA22" s="74"/>
      <c r="BB22" s="74"/>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c r="CA22" s="10"/>
      <c r="CB22" s="10"/>
      <c r="CC22" s="10"/>
      <c r="CH22" s="98"/>
    </row>
    <row r="23" spans="1:86" s="5" customFormat="1" ht="17.399999999999999" x14ac:dyDescent="0.25">
      <c r="A23" s="76" t="str">
        <f>IF(ISERROR(VALUE(SUBSTITUTE(prevWBS,".",""))),"1",IF(ISERROR(FIND("`",SUBSTITUTE(prevWBS,".","`",1))),TEXT(VALUE(prevWBS)+1,"#"),TEXT(VALUE(LEFT(prevWBS,FIND("`",SUBSTITUTE(prevWBS,".","`",1))-1))+1,"#")))</f>
        <v>4</v>
      </c>
      <c r="B23" s="104" cm="1">
        <f t="array" ref="B23">FindColor(A23)</f>
        <v>15</v>
      </c>
      <c r="C23" s="76" t="s">
        <v>47</v>
      </c>
      <c r="E23" s="6"/>
      <c r="F23" s="46"/>
      <c r="G23" s="46" t="str">
        <f t="shared" ref="G23:G24" si="30">IF(ISBLANK(F23)," - ",IF(H23=0,F23,F23+H23-1))</f>
        <v xml:space="preserve"> - </v>
      </c>
      <c r="H23" s="7"/>
      <c r="I23" s="8"/>
      <c r="J23" s="9" t="str">
        <f t="shared" si="19"/>
        <v xml:space="preserve"> - </v>
      </c>
      <c r="K23" s="41"/>
      <c r="L23" s="51"/>
      <c r="M23" s="51"/>
      <c r="N23" s="51"/>
      <c r="O23" s="51"/>
      <c r="P23" s="51"/>
      <c r="Q23" s="51"/>
      <c r="R23" s="51"/>
      <c r="S23" s="74"/>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1"/>
      <c r="CA23" s="51"/>
      <c r="CB23" s="51"/>
      <c r="CC23" s="51"/>
      <c r="CH23" s="97"/>
    </row>
    <row r="24" spans="1:86" s="11" customFormat="1" ht="17.399999999999999" x14ac:dyDescent="0.25">
      <c r="A24"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24" s="104" cm="1">
        <f t="array" ref="B24">FindColor(A24)</f>
        <v>35</v>
      </c>
      <c r="C24" s="63" t="s">
        <v>32</v>
      </c>
      <c r="E24" s="64"/>
      <c r="F24" s="44">
        <v>43141</v>
      </c>
      <c r="G24" s="45">
        <f t="shared" si="30"/>
        <v>43144</v>
      </c>
      <c r="H24" s="12">
        <v>4</v>
      </c>
      <c r="I24" s="13">
        <v>0</v>
      </c>
      <c r="J24" s="14">
        <f t="shared" si="19"/>
        <v>2</v>
      </c>
      <c r="K24" s="40"/>
      <c r="L24" s="10"/>
      <c r="M24" s="10"/>
      <c r="N24" s="10"/>
      <c r="O24" s="10"/>
      <c r="P24" s="10"/>
      <c r="Q24" s="10"/>
      <c r="R24" s="10"/>
      <c r="S24" s="74"/>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c r="CA24" s="10"/>
      <c r="CB24" s="10"/>
      <c r="CC24" s="10"/>
      <c r="CH24" s="98"/>
    </row>
    <row r="25" spans="1:86" s="11" customFormat="1" ht="17.399999999999999" x14ac:dyDescent="0.25">
      <c r="A25"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4.1.1</v>
      </c>
      <c r="B25" s="104" cm="1">
        <f t="array" ref="B25">FindColor(A25)</f>
        <v>24</v>
      </c>
      <c r="C25" s="77" t="s">
        <v>33</v>
      </c>
      <c r="E25" s="67"/>
      <c r="F25" s="68"/>
      <c r="G25" s="69"/>
      <c r="H25" s="70"/>
      <c r="I25" s="71"/>
      <c r="J25" s="72"/>
      <c r="K25" s="73"/>
      <c r="L25" s="10"/>
      <c r="M25" s="10"/>
      <c r="N25" s="10"/>
      <c r="O25" s="10"/>
      <c r="P25" s="10"/>
      <c r="Q25" s="10"/>
      <c r="R25" s="10"/>
      <c r="S25" s="74"/>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c r="CA25" s="10"/>
      <c r="CB25" s="10"/>
      <c r="CC25" s="10"/>
      <c r="CH25" s="98"/>
    </row>
    <row r="26" spans="1:86" s="11" customFormat="1" ht="17.399999999999999" x14ac:dyDescent="0.25">
      <c r="A26"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4.1.2</v>
      </c>
      <c r="B26" s="104" cm="1">
        <f t="array" ref="B26">FindColor(A26)</f>
        <v>24</v>
      </c>
      <c r="C26" s="77" t="s">
        <v>34</v>
      </c>
      <c r="E26" s="67"/>
      <c r="F26" s="68"/>
      <c r="G26" s="69"/>
      <c r="H26" s="70"/>
      <c r="I26" s="71"/>
      <c r="J26" s="72"/>
      <c r="K26" s="73"/>
      <c r="L26" s="10"/>
      <c r="M26" s="10"/>
      <c r="N26" s="10"/>
      <c r="O26" s="10"/>
      <c r="P26" s="10"/>
      <c r="Q26" s="10"/>
      <c r="R26" s="10"/>
      <c r="S26" s="74"/>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c r="CA26" s="10"/>
      <c r="CB26" s="10"/>
      <c r="CC26" s="10"/>
      <c r="CH26" s="98"/>
    </row>
    <row r="27" spans="1:86" s="5" customFormat="1" ht="17.399999999999999" x14ac:dyDescent="0.25">
      <c r="A27" s="4" t="str">
        <f>IF(ISERROR(VALUE(SUBSTITUTE(prevWBS,".",""))),"1",IF(ISERROR(FIND("`",SUBSTITUTE(prevWBS,".","`",1))),TEXT(VALUE(prevWBS)+1,"#"),TEXT(VALUE(LEFT(prevWBS,FIND("`",SUBSTITUTE(prevWBS,".","`",1))-1))+1,"#")))</f>
        <v>5</v>
      </c>
      <c r="B27" s="104" cm="1">
        <f t="array" ref="B27">FindColor(A27)</f>
        <v>15</v>
      </c>
      <c r="C27" s="76" t="s">
        <v>43</v>
      </c>
      <c r="E27" s="6"/>
      <c r="F27" s="46"/>
      <c r="G27" s="46" t="str">
        <f t="shared" ref="G27" si="31">IF(ISBLANK(F27)," - ",IF(H27=0,F27,F27+H27-1))</f>
        <v xml:space="preserve"> - </v>
      </c>
      <c r="H27" s="7"/>
      <c r="I27" s="8"/>
      <c r="J27" s="9" t="str">
        <f t="shared" ref="J27" si="32">IF(OR(G27=0,F27=0)," - ",NETWORKDAYS(F27,G27))</f>
        <v xml:space="preserve"> - </v>
      </c>
      <c r="K27" s="41"/>
      <c r="L27" s="51"/>
      <c r="M27" s="51"/>
      <c r="N27" s="51"/>
      <c r="O27" s="51"/>
      <c r="P27" s="51"/>
      <c r="Q27" s="51"/>
      <c r="R27" s="51"/>
      <c r="S27" s="74"/>
      <c r="T27" s="74"/>
      <c r="U27" s="74"/>
      <c r="V27" s="51"/>
      <c r="W27" s="51"/>
      <c r="X27" s="51"/>
      <c r="Y27" s="51"/>
      <c r="Z27" s="51"/>
      <c r="AA27" s="51"/>
      <c r="AB27" s="51"/>
      <c r="AC27" s="51"/>
      <c r="AD27" s="51"/>
      <c r="AE27" s="51"/>
      <c r="AF27" s="51"/>
      <c r="AG27" s="51"/>
      <c r="AH27" s="51"/>
      <c r="AI27" s="51"/>
      <c r="AJ27" s="51"/>
      <c r="AK27" s="51"/>
      <c r="AL27" s="51"/>
      <c r="AM27" s="51"/>
      <c r="AN27" s="51"/>
      <c r="AO27" s="51"/>
      <c r="AP27" s="51"/>
      <c r="AQ27" s="74"/>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1"/>
      <c r="CA27" s="51"/>
      <c r="CB27" s="51"/>
      <c r="CC27" s="51"/>
      <c r="CH27" s="97"/>
    </row>
    <row r="28" spans="1:86" s="20" customFormat="1" ht="17.399999999999999" x14ac:dyDescent="0.25">
      <c r="A28"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28" s="104" cm="1">
        <f t="array" ref="B28">FindColor(A28)</f>
        <v>35</v>
      </c>
      <c r="C28" s="63" t="s">
        <v>44</v>
      </c>
      <c r="D28" s="15"/>
      <c r="E28" s="16"/>
      <c r="F28" s="47"/>
      <c r="G28" s="47"/>
      <c r="H28" s="17"/>
      <c r="I28" s="18"/>
      <c r="J28" s="19"/>
      <c r="K28" s="42"/>
      <c r="L28" s="10"/>
      <c r="M28" s="10"/>
      <c r="N28" s="10"/>
      <c r="O28" s="10"/>
      <c r="P28" s="10"/>
      <c r="Q28" s="10"/>
      <c r="R28" s="10"/>
      <c r="S28" s="74"/>
      <c r="T28" s="74"/>
      <c r="U28" s="74"/>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c r="CA28" s="10"/>
      <c r="CB28" s="10"/>
      <c r="CC28" s="10"/>
      <c r="CH28" s="99"/>
    </row>
    <row r="29" spans="1:86" s="11" customFormat="1" ht="26.4" x14ac:dyDescent="0.25">
      <c r="A29"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5.1.1</v>
      </c>
      <c r="B29" s="104" cm="1">
        <f t="array" ref="B29">FindColor(A29)</f>
        <v>24</v>
      </c>
      <c r="C29" s="119" t="s">
        <v>35</v>
      </c>
      <c r="E29" s="64"/>
      <c r="F29" s="44">
        <v>43129</v>
      </c>
      <c r="G29" s="45">
        <f t="shared" ref="G29" si="33">IF(ISBLANK(F29)," - ",IF(H29=0,F29,F29+H29-1))</f>
        <v>43129</v>
      </c>
      <c r="H29" s="12">
        <v>1</v>
      </c>
      <c r="I29" s="13">
        <v>0</v>
      </c>
      <c r="J29" s="14">
        <f t="shared" ref="J29" si="34">IF(OR(G29=0,F29=0)," - ",NETWORKDAYS(F29,G29))</f>
        <v>1</v>
      </c>
      <c r="K29" s="40"/>
      <c r="L29" s="10"/>
      <c r="M29" s="10"/>
      <c r="N29" s="10"/>
      <c r="O29" s="10"/>
      <c r="P29" s="10"/>
      <c r="Q29" s="10"/>
      <c r="R29" s="10"/>
      <c r="S29" s="74"/>
      <c r="T29" s="74"/>
      <c r="U29" s="74"/>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0"/>
      <c r="BS29" s="10"/>
      <c r="BT29" s="10"/>
      <c r="BU29" s="10"/>
      <c r="BV29" s="10"/>
      <c r="BW29" s="10"/>
      <c r="BX29" s="10"/>
      <c r="BY29" s="10"/>
      <c r="BZ29" s="10"/>
      <c r="CA29" s="10"/>
      <c r="CB29" s="10"/>
      <c r="CC29" s="10"/>
      <c r="CH29" s="98"/>
    </row>
    <row r="30" spans="1:86" s="11" customFormat="1" ht="17.399999999999999" x14ac:dyDescent="0.25">
      <c r="A30"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5.2</v>
      </c>
      <c r="B30" s="104" cm="1">
        <f t="array" ref="B30">FindColor(A30)</f>
        <v>35</v>
      </c>
      <c r="C30" s="63" t="s">
        <v>45</v>
      </c>
      <c r="E30" s="64"/>
      <c r="F30" s="44">
        <v>43129</v>
      </c>
      <c r="G30" s="45">
        <f t="shared" ref="G30:G41" si="35">IF(ISBLANK(F30)," - ",IF(H30=0,F30,F30+H30-1))</f>
        <v>43129</v>
      </c>
      <c r="H30" s="12">
        <v>1</v>
      </c>
      <c r="I30" s="13">
        <v>0</v>
      </c>
      <c r="J30" s="14">
        <f t="shared" ref="J30:J41" si="36">IF(OR(G30=0,F30=0)," - ",NETWORKDAYS(F30,G30))</f>
        <v>1</v>
      </c>
      <c r="K30" s="40"/>
      <c r="L30" s="10"/>
      <c r="M30" s="10"/>
      <c r="N30" s="10"/>
      <c r="O30" s="10"/>
      <c r="P30" s="10"/>
      <c r="Q30" s="10"/>
      <c r="R30" s="10"/>
      <c r="S30" s="10"/>
      <c r="T30" s="74"/>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c r="CA30" s="10"/>
      <c r="CB30" s="10"/>
      <c r="CC30" s="10"/>
      <c r="CH30" s="98"/>
    </row>
    <row r="31" spans="1:86" s="11" customFormat="1" ht="26.4" x14ac:dyDescent="0.25">
      <c r="A31"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5.2.1</v>
      </c>
      <c r="B31" s="104" cm="1">
        <f t="array" ref="B31">FindColor(A31)</f>
        <v>24</v>
      </c>
      <c r="C31" s="119" t="s">
        <v>41</v>
      </c>
      <c r="E31" s="64"/>
      <c r="F31" s="44">
        <v>43129</v>
      </c>
      <c r="G31" s="45">
        <f t="shared" si="35"/>
        <v>43129</v>
      </c>
      <c r="H31" s="12">
        <v>1</v>
      </c>
      <c r="I31" s="13">
        <v>0</v>
      </c>
      <c r="J31" s="14">
        <f t="shared" si="36"/>
        <v>1</v>
      </c>
      <c r="K31" s="40"/>
      <c r="L31" s="10"/>
      <c r="M31" s="10"/>
      <c r="N31" s="10"/>
      <c r="O31" s="10"/>
      <c r="P31" s="10"/>
      <c r="Q31" s="10"/>
      <c r="R31" s="10"/>
      <c r="S31" s="10"/>
      <c r="T31" s="74"/>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c r="CA31" s="10"/>
      <c r="CB31" s="10"/>
      <c r="CC31" s="10"/>
      <c r="CH31" s="98"/>
    </row>
    <row r="32" spans="1:86" s="11" customFormat="1" ht="17.399999999999999" x14ac:dyDescent="0.25">
      <c r="A32"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5.3</v>
      </c>
      <c r="B32" s="104" cm="1">
        <f t="array" ref="B32">FindColor(A32)</f>
        <v>35</v>
      </c>
      <c r="C32" s="63" t="s">
        <v>46</v>
      </c>
      <c r="E32" s="64"/>
      <c r="F32" s="44">
        <v>43129</v>
      </c>
      <c r="G32" s="45">
        <f t="shared" si="35"/>
        <v>43129</v>
      </c>
      <c r="H32" s="12">
        <v>1</v>
      </c>
      <c r="I32" s="13">
        <v>0</v>
      </c>
      <c r="J32" s="14">
        <f t="shared" si="36"/>
        <v>1</v>
      </c>
      <c r="K32" s="40"/>
      <c r="L32" s="10"/>
      <c r="M32" s="10"/>
      <c r="N32" s="10"/>
      <c r="O32" s="10"/>
      <c r="P32" s="10"/>
      <c r="Q32" s="10"/>
      <c r="R32" s="10"/>
      <c r="S32" s="10"/>
      <c r="T32" s="74"/>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c r="CC32" s="10"/>
      <c r="CH32" s="98"/>
    </row>
    <row r="33" spans="1:86" s="11" customFormat="1" ht="26.4" x14ac:dyDescent="0.25">
      <c r="A33"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5.3.1</v>
      </c>
      <c r="B33" s="104" cm="1">
        <f t="array" ref="B33">FindColor(A33)</f>
        <v>24</v>
      </c>
      <c r="C33" s="119" t="s">
        <v>42</v>
      </c>
      <c r="E33" s="64"/>
      <c r="F33" s="44">
        <v>43129</v>
      </c>
      <c r="G33" s="45">
        <f t="shared" si="35"/>
        <v>43129</v>
      </c>
      <c r="H33" s="12">
        <v>1</v>
      </c>
      <c r="I33" s="13">
        <v>0</v>
      </c>
      <c r="J33" s="14">
        <f t="shared" si="36"/>
        <v>1</v>
      </c>
      <c r="K33" s="40"/>
      <c r="L33" s="10"/>
      <c r="M33" s="10"/>
      <c r="N33" s="10"/>
      <c r="O33" s="10"/>
      <c r="P33" s="10"/>
      <c r="Q33" s="10"/>
      <c r="R33" s="10"/>
      <c r="S33" s="10"/>
      <c r="T33" s="74"/>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c r="CA33" s="10"/>
      <c r="CB33" s="10"/>
      <c r="CC33" s="10"/>
      <c r="CH33" s="98"/>
    </row>
    <row r="34" spans="1:86" s="11" customFormat="1" ht="17.399999999999999" x14ac:dyDescent="0.25">
      <c r="A34"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5.4</v>
      </c>
      <c r="B34" s="104" cm="1">
        <f t="array" ref="B34">FindColor(A34)</f>
        <v>35</v>
      </c>
      <c r="C34" s="63" t="s">
        <v>48</v>
      </c>
      <c r="E34" s="64"/>
      <c r="F34" s="44">
        <v>43129</v>
      </c>
      <c r="G34" s="45">
        <f t="shared" si="35"/>
        <v>43129</v>
      </c>
      <c r="H34" s="12">
        <v>1</v>
      </c>
      <c r="I34" s="13">
        <v>0</v>
      </c>
      <c r="J34" s="14">
        <f t="shared" si="36"/>
        <v>1</v>
      </c>
      <c r="K34" s="40"/>
      <c r="L34" s="10"/>
      <c r="M34" s="10"/>
      <c r="N34" s="10"/>
      <c r="O34" s="10"/>
      <c r="P34" s="10"/>
      <c r="Q34" s="10"/>
      <c r="R34" s="10"/>
      <c r="S34" s="10"/>
      <c r="T34" s="74"/>
      <c r="U34" s="74"/>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H34" s="98"/>
    </row>
    <row r="35" spans="1:86" s="11" customFormat="1" ht="26.4" x14ac:dyDescent="0.25">
      <c r="A35"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5.4.1</v>
      </c>
      <c r="B35" s="104" cm="1">
        <f t="array" ref="B35">FindColor(A35)</f>
        <v>24</v>
      </c>
      <c r="C35" s="119" t="s">
        <v>49</v>
      </c>
      <c r="E35" s="64"/>
      <c r="F35" s="44">
        <v>43129</v>
      </c>
      <c r="G35" s="45">
        <f t="shared" si="35"/>
        <v>43129</v>
      </c>
      <c r="H35" s="12">
        <v>1</v>
      </c>
      <c r="I35" s="13">
        <v>0</v>
      </c>
      <c r="J35" s="14">
        <f t="shared" si="36"/>
        <v>1</v>
      </c>
      <c r="K35" s="40"/>
      <c r="L35" s="10"/>
      <c r="M35" s="10"/>
      <c r="N35" s="10"/>
      <c r="O35" s="10"/>
      <c r="P35" s="10"/>
      <c r="Q35" s="10"/>
      <c r="R35" s="10"/>
      <c r="S35" s="10"/>
      <c r="T35" s="74"/>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H35" s="98"/>
    </row>
    <row r="36" spans="1:86" s="11" customFormat="1" ht="39.6" x14ac:dyDescent="0.25">
      <c r="A36"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5.4.2</v>
      </c>
      <c r="B36" s="104" cm="1">
        <f t="array" ref="B36">FindColor(A36)</f>
        <v>24</v>
      </c>
      <c r="C36" s="119" t="s">
        <v>53</v>
      </c>
      <c r="E36" s="64"/>
      <c r="F36" s="44">
        <v>43129</v>
      </c>
      <c r="G36" s="45">
        <f t="shared" si="35"/>
        <v>43129</v>
      </c>
      <c r="H36" s="12">
        <v>1</v>
      </c>
      <c r="I36" s="13">
        <v>0</v>
      </c>
      <c r="J36" s="14">
        <f t="shared" si="36"/>
        <v>1</v>
      </c>
      <c r="K36" s="40"/>
      <c r="L36" s="10"/>
      <c r="M36" s="10"/>
      <c r="N36" s="10"/>
      <c r="O36" s="10"/>
      <c r="P36" s="10"/>
      <c r="Q36" s="10"/>
      <c r="R36" s="10"/>
      <c r="S36" s="10"/>
      <c r="T36" s="10"/>
      <c r="U36" s="74"/>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H36" s="98"/>
    </row>
    <row r="37" spans="1:86" s="11" customFormat="1" ht="17.399999999999999" x14ac:dyDescent="0.25">
      <c r="A37"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5.5</v>
      </c>
      <c r="B37" s="104" cm="1">
        <f t="array" ref="B37">FindColor(A37)</f>
        <v>35</v>
      </c>
      <c r="C37" s="63" t="s">
        <v>50</v>
      </c>
      <c r="E37" s="64"/>
      <c r="F37" s="44">
        <v>43129</v>
      </c>
      <c r="G37" s="45">
        <f t="shared" si="35"/>
        <v>43129</v>
      </c>
      <c r="H37" s="12">
        <v>1</v>
      </c>
      <c r="I37" s="13">
        <v>0</v>
      </c>
      <c r="J37" s="14">
        <f t="shared" si="36"/>
        <v>1</v>
      </c>
      <c r="K37" s="40"/>
      <c r="L37" s="10"/>
      <c r="M37" s="10"/>
      <c r="N37" s="10"/>
      <c r="O37" s="10"/>
      <c r="P37" s="10"/>
      <c r="Q37" s="10"/>
      <c r="R37" s="10"/>
      <c r="S37" s="10"/>
      <c r="T37" s="74"/>
      <c r="U37" s="74"/>
      <c r="V37" s="10"/>
      <c r="W37" s="10"/>
      <c r="X37" s="10"/>
      <c r="Y37" s="10"/>
      <c r="Z37" s="10"/>
      <c r="AA37" s="10"/>
      <c r="AB37" s="10"/>
      <c r="AC37" s="10"/>
      <c r="AD37" s="10"/>
      <c r="AE37" s="10"/>
      <c r="AF37" s="10"/>
      <c r="AG37" s="10"/>
      <c r="AH37" s="10"/>
      <c r="AI37" s="10"/>
      <c r="AJ37" s="10"/>
      <c r="AK37" s="10"/>
      <c r="AL37" s="10"/>
      <c r="AM37" s="10"/>
      <c r="AN37" s="10"/>
      <c r="AO37" s="10"/>
      <c r="AP37" s="10"/>
      <c r="AQ37" s="74"/>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c r="CA37" s="10"/>
      <c r="CB37" s="10"/>
      <c r="CC37" s="10"/>
      <c r="CH37" s="98"/>
    </row>
    <row r="38" spans="1:86" s="11" customFormat="1" ht="17.399999999999999" x14ac:dyDescent="0.25">
      <c r="A38"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5.5.1</v>
      </c>
      <c r="B38" s="104" cm="1">
        <f t="array" ref="B38">FindColor(A38)</f>
        <v>24</v>
      </c>
      <c r="C38" s="119" t="s">
        <v>51</v>
      </c>
      <c r="E38" s="64"/>
      <c r="F38" s="44">
        <v>43129</v>
      </c>
      <c r="G38" s="45">
        <f t="shared" si="35"/>
        <v>43129</v>
      </c>
      <c r="H38" s="12">
        <v>1</v>
      </c>
      <c r="I38" s="13">
        <v>0</v>
      </c>
      <c r="J38" s="14">
        <f t="shared" si="36"/>
        <v>1</v>
      </c>
      <c r="K38" s="40"/>
      <c r="L38" s="10"/>
      <c r="M38" s="10"/>
      <c r="N38" s="10"/>
      <c r="O38" s="10"/>
      <c r="P38" s="10"/>
      <c r="Q38" s="10"/>
      <c r="R38" s="10"/>
      <c r="S38" s="10"/>
      <c r="T38" s="74"/>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c r="CA38" s="10"/>
      <c r="CB38" s="10"/>
      <c r="CC38" s="10"/>
      <c r="CH38" s="98"/>
    </row>
    <row r="39" spans="1:86" s="11" customFormat="1" ht="17.399999999999999" x14ac:dyDescent="0.25">
      <c r="A39"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5.5.2</v>
      </c>
      <c r="B39" s="104" cm="1">
        <f t="array" ref="B39">FindColor(A39)</f>
        <v>24</v>
      </c>
      <c r="C39" s="119" t="s">
        <v>52</v>
      </c>
      <c r="E39" s="64"/>
      <c r="F39" s="44">
        <v>43129</v>
      </c>
      <c r="G39" s="45">
        <f t="shared" si="35"/>
        <v>43129</v>
      </c>
      <c r="H39" s="12">
        <v>1</v>
      </c>
      <c r="I39" s="13">
        <v>0</v>
      </c>
      <c r="J39" s="14">
        <f t="shared" si="36"/>
        <v>1</v>
      </c>
      <c r="K39" s="40"/>
      <c r="L39" s="10"/>
      <c r="M39" s="10"/>
      <c r="N39" s="10"/>
      <c r="O39" s="10"/>
      <c r="P39" s="10"/>
      <c r="Q39" s="10"/>
      <c r="R39" s="10"/>
      <c r="S39" s="10"/>
      <c r="T39" s="10"/>
      <c r="U39" s="74"/>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c r="BS39" s="10"/>
      <c r="BT39" s="10"/>
      <c r="BU39" s="10"/>
      <c r="BV39" s="10"/>
      <c r="BW39" s="10"/>
      <c r="BX39" s="10"/>
      <c r="BY39" s="10"/>
      <c r="BZ39" s="10"/>
      <c r="CA39" s="10"/>
      <c r="CB39" s="10"/>
      <c r="CC39" s="10"/>
      <c r="CH39" s="98"/>
    </row>
    <row r="40" spans="1:86" s="11" customFormat="1" ht="26.4" x14ac:dyDescent="0.25">
      <c r="A40"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5.5.3</v>
      </c>
      <c r="B40" s="104" cm="1">
        <f t="array" ref="B40">FindColor(A40)</f>
        <v>24</v>
      </c>
      <c r="C40" s="119" t="s">
        <v>66</v>
      </c>
      <c r="E40" s="64"/>
      <c r="F40" s="44">
        <v>43129</v>
      </c>
      <c r="G40" s="45">
        <f t="shared" si="35"/>
        <v>43129</v>
      </c>
      <c r="H40" s="12">
        <v>1</v>
      </c>
      <c r="I40" s="13">
        <v>0</v>
      </c>
      <c r="J40" s="14">
        <f t="shared" si="36"/>
        <v>1</v>
      </c>
      <c r="K40" s="4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74"/>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c r="BS40" s="10"/>
      <c r="BT40" s="10"/>
      <c r="BU40" s="10"/>
      <c r="BV40" s="10"/>
      <c r="BW40" s="10"/>
      <c r="BX40" s="10"/>
      <c r="BY40" s="10"/>
      <c r="BZ40" s="10"/>
      <c r="CA40" s="10"/>
      <c r="CB40" s="10"/>
      <c r="CC40" s="10"/>
      <c r="CH40" s="98"/>
    </row>
    <row r="41" spans="1:86" s="11" customFormat="1" ht="17.399999999999999" x14ac:dyDescent="0.25">
      <c r="A41"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5.5.4</v>
      </c>
      <c r="B41" s="104" cm="1">
        <f t="array" ref="B41">FindColor(A41)</f>
        <v>24</v>
      </c>
      <c r="C41" s="119" t="s">
        <v>67</v>
      </c>
      <c r="E41" s="64"/>
      <c r="F41" s="44">
        <v>43129</v>
      </c>
      <c r="G41" s="45">
        <f t="shared" si="35"/>
        <v>43129</v>
      </c>
      <c r="H41" s="12">
        <v>1</v>
      </c>
      <c r="I41" s="13">
        <v>0</v>
      </c>
      <c r="J41" s="14">
        <f t="shared" si="36"/>
        <v>1</v>
      </c>
      <c r="K41" s="40"/>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L41" s="10"/>
      <c r="AM41" s="10"/>
      <c r="AN41" s="10"/>
      <c r="AO41" s="10"/>
      <c r="AP41" s="10"/>
      <c r="AQ41" s="74"/>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c r="BS41" s="10"/>
      <c r="BT41" s="10"/>
      <c r="BU41" s="10"/>
      <c r="BV41" s="10"/>
      <c r="BW41" s="10"/>
      <c r="BX41" s="10"/>
      <c r="BY41" s="10"/>
      <c r="BZ41" s="10"/>
      <c r="CA41" s="10"/>
      <c r="CB41" s="10"/>
      <c r="CC41" s="10"/>
      <c r="CH41" s="98"/>
    </row>
    <row r="42" spans="1:86" s="5" customFormat="1" ht="17.399999999999999" x14ac:dyDescent="0.25">
      <c r="A42" s="4" t="str">
        <f>IF(ISERROR(VALUE(SUBSTITUTE(prevWBS,".",""))),"1",IF(ISERROR(FIND("`",SUBSTITUTE(prevWBS,".","`",1))),TEXT(VALUE(prevWBS)+1,"#"),TEXT(VALUE(LEFT(prevWBS,FIND("`",SUBSTITUTE(prevWBS,".","`",1))-1))+1,"#")))</f>
        <v>6</v>
      </c>
      <c r="B42" s="104" cm="1">
        <f t="array" ref="B42">FindColor(A42)</f>
        <v>15</v>
      </c>
      <c r="C42" s="76" t="s">
        <v>3</v>
      </c>
      <c r="E42" s="6"/>
      <c r="F42" s="46"/>
      <c r="G42" s="46" t="str">
        <f t="shared" ref="G42:G47" si="37">IF(ISBLANK(F42)," - ",IF(H42=0,F42,F42+H42-1))</f>
        <v xml:space="preserve"> - </v>
      </c>
      <c r="H42" s="7"/>
      <c r="I42" s="8"/>
      <c r="J42" s="9" t="str">
        <f t="shared" ref="J42:J47" si="38">IF(OR(G42=0,F42=0)," - ",NETWORKDAYS(F42,G42))</f>
        <v xml:space="preserve"> - </v>
      </c>
      <c r="K42" s="4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1"/>
      <c r="CA42" s="51"/>
      <c r="CB42" s="51"/>
      <c r="CC42" s="51"/>
      <c r="CH42" s="97"/>
    </row>
    <row r="43" spans="1:86" s="11" customFormat="1" ht="17.399999999999999" x14ac:dyDescent="0.25">
      <c r="A43"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43" s="104" cm="1">
        <f t="array" ref="B43">FindColor(A43)</f>
        <v>35</v>
      </c>
      <c r="C43" s="63" t="s">
        <v>4</v>
      </c>
      <c r="E43" s="64"/>
      <c r="F43" s="44">
        <v>43129</v>
      </c>
      <c r="G43" s="45">
        <f t="shared" si="37"/>
        <v>43129</v>
      </c>
      <c r="H43" s="12">
        <v>1</v>
      </c>
      <c r="I43" s="13">
        <v>0</v>
      </c>
      <c r="J43" s="14">
        <f t="shared" si="38"/>
        <v>1</v>
      </c>
      <c r="K43" s="40"/>
      <c r="L43" s="10"/>
      <c r="M43" s="10"/>
      <c r="N43" s="10"/>
      <c r="O43" s="10"/>
      <c r="P43" s="10"/>
      <c r="Q43" s="10"/>
      <c r="R43" s="10"/>
      <c r="S43" s="10"/>
      <c r="T43" s="10"/>
      <c r="U43" s="10"/>
      <c r="V43" s="10"/>
      <c r="W43" s="10"/>
      <c r="X43" s="10"/>
      <c r="Y43" s="10"/>
      <c r="Z43" s="10"/>
      <c r="AA43" s="10"/>
      <c r="AB43" s="10"/>
      <c r="AC43" s="10"/>
      <c r="AD43" s="10"/>
      <c r="AE43" s="10"/>
      <c r="AF43" s="10"/>
      <c r="AG43" s="10"/>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c r="BS43" s="10"/>
      <c r="BT43" s="10"/>
      <c r="BU43" s="10"/>
      <c r="BV43" s="10"/>
      <c r="BW43" s="10"/>
      <c r="BX43" s="10"/>
      <c r="BY43" s="10"/>
      <c r="BZ43" s="10"/>
      <c r="CA43" s="10"/>
      <c r="CB43" s="10"/>
      <c r="CC43" s="10"/>
      <c r="CH43" s="98"/>
    </row>
    <row r="44" spans="1:86" s="5" customFormat="1" ht="17.399999999999999" x14ac:dyDescent="0.25">
      <c r="A44" s="4" t="str">
        <f>IF(ISERROR(VALUE(SUBSTITUTE(prevWBS,".",""))),"1",IF(ISERROR(FIND("`",SUBSTITUTE(prevWBS,".","`",1))),TEXT(VALUE(prevWBS)+1,"#"),TEXT(VALUE(LEFT(prevWBS,FIND("`",SUBSTITUTE(prevWBS,".","`",1))-1))+1,"#")))</f>
        <v>7</v>
      </c>
      <c r="B44" s="104" cm="1">
        <f t="array" ref="B44">FindColor(A44)</f>
        <v>15</v>
      </c>
      <c r="C44" s="76" t="s">
        <v>3</v>
      </c>
      <c r="E44" s="6"/>
      <c r="F44" s="46"/>
      <c r="G44" s="46" t="str">
        <f t="shared" si="37"/>
        <v xml:space="preserve"> - </v>
      </c>
      <c r="H44" s="7"/>
      <c r="I44" s="8"/>
      <c r="J44" s="9" t="str">
        <f t="shared" si="38"/>
        <v xml:space="preserve"> - </v>
      </c>
      <c r="K44" s="4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c r="BA44" s="51"/>
      <c r="BB44" s="51"/>
      <c r="BC44" s="51"/>
      <c r="BD44" s="51"/>
      <c r="BE44" s="51"/>
      <c r="BF44" s="51"/>
      <c r="BG44" s="51"/>
      <c r="BH44" s="51"/>
      <c r="BI44" s="51"/>
      <c r="BJ44" s="51"/>
      <c r="BK44" s="51"/>
      <c r="BL44" s="51"/>
      <c r="BM44" s="51"/>
      <c r="BN44" s="51"/>
      <c r="BO44" s="51"/>
      <c r="BP44" s="51"/>
      <c r="BQ44" s="51"/>
      <c r="BR44" s="51"/>
      <c r="BS44" s="51"/>
      <c r="BT44" s="51"/>
      <c r="BU44" s="51"/>
      <c r="BV44" s="51"/>
      <c r="BW44" s="51"/>
      <c r="BX44" s="51"/>
      <c r="BY44" s="51"/>
      <c r="BZ44" s="51"/>
      <c r="CA44" s="51"/>
      <c r="CB44" s="51"/>
      <c r="CC44" s="51"/>
      <c r="CH44" s="97"/>
    </row>
    <row r="45" spans="1:86" s="11" customFormat="1" ht="17.399999999999999" x14ac:dyDescent="0.25">
      <c r="A45"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45" s="104" cm="1">
        <f t="array" ref="B45">FindColor(A45)</f>
        <v>35</v>
      </c>
      <c r="C45" s="63" t="s">
        <v>4</v>
      </c>
      <c r="E45" s="64"/>
      <c r="F45" s="44">
        <v>43129</v>
      </c>
      <c r="G45" s="45">
        <f t="shared" si="37"/>
        <v>43129</v>
      </c>
      <c r="H45" s="12">
        <v>1</v>
      </c>
      <c r="I45" s="13">
        <v>0</v>
      </c>
      <c r="J45" s="14">
        <f t="shared" si="38"/>
        <v>1</v>
      </c>
      <c r="K45" s="40"/>
      <c r="L45" s="10"/>
      <c r="M45" s="10"/>
      <c r="N45" s="10"/>
      <c r="O45" s="10"/>
      <c r="P45" s="10"/>
      <c r="Q45" s="10"/>
      <c r="R45" s="10"/>
      <c r="S45" s="10"/>
      <c r="T45" s="10"/>
      <c r="U45" s="10"/>
      <c r="V45" s="10"/>
      <c r="W45" s="10"/>
      <c r="X45" s="10"/>
      <c r="Y45" s="10"/>
      <c r="Z45" s="10"/>
      <c r="AA45" s="10"/>
      <c r="AB45" s="10"/>
      <c r="AC45" s="10"/>
      <c r="AD45" s="10"/>
      <c r="AE45" s="10"/>
      <c r="AF45" s="10"/>
      <c r="AG45" s="10"/>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c r="BS45" s="10"/>
      <c r="BT45" s="10"/>
      <c r="BU45" s="10"/>
      <c r="BV45" s="10"/>
      <c r="BW45" s="10"/>
      <c r="BX45" s="10"/>
      <c r="BY45" s="10"/>
      <c r="BZ45" s="10"/>
      <c r="CA45" s="10"/>
      <c r="CB45" s="10"/>
      <c r="CC45" s="10"/>
      <c r="CH45" s="98"/>
    </row>
    <row r="46" spans="1:86" s="5" customFormat="1" ht="17.399999999999999" x14ac:dyDescent="0.25">
      <c r="A46" s="4" t="str">
        <f>IF(ISERROR(VALUE(SUBSTITUTE(prevWBS,".",""))),"1",IF(ISERROR(FIND("`",SUBSTITUTE(prevWBS,".","`",1))),TEXT(VALUE(prevWBS)+1,"#"),TEXT(VALUE(LEFT(prevWBS,FIND("`",SUBSTITUTE(prevWBS,".","`",1))-1))+1,"#")))</f>
        <v>8</v>
      </c>
      <c r="B46" s="104" cm="1">
        <f t="array" ref="B46">FindColor(A46)</f>
        <v>15</v>
      </c>
      <c r="C46" s="76" t="s">
        <v>3</v>
      </c>
      <c r="E46" s="6"/>
      <c r="F46" s="46"/>
      <c r="G46" s="46" t="str">
        <f t="shared" si="37"/>
        <v xml:space="preserve"> - </v>
      </c>
      <c r="H46" s="7"/>
      <c r="I46" s="8"/>
      <c r="J46" s="9" t="str">
        <f t="shared" si="38"/>
        <v xml:space="preserve"> - </v>
      </c>
      <c r="K46" s="4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1"/>
      <c r="CA46" s="51"/>
      <c r="CB46" s="51"/>
      <c r="CC46" s="51"/>
      <c r="CH46" s="97"/>
    </row>
    <row r="47" spans="1:86" s="11" customFormat="1" ht="17.399999999999999" x14ac:dyDescent="0.25">
      <c r="A47"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47" s="104" cm="1">
        <f t="array" ref="B47">FindColor(A47)</f>
        <v>35</v>
      </c>
      <c r="C47" s="63" t="s">
        <v>4</v>
      </c>
      <c r="E47" s="64"/>
      <c r="F47" s="44">
        <v>43129</v>
      </c>
      <c r="G47" s="45">
        <f t="shared" si="37"/>
        <v>43129</v>
      </c>
      <c r="H47" s="12">
        <v>1</v>
      </c>
      <c r="I47" s="13">
        <v>0</v>
      </c>
      <c r="J47" s="14">
        <f t="shared" si="38"/>
        <v>1</v>
      </c>
      <c r="K47" s="40"/>
      <c r="L47" s="10"/>
      <c r="M47" s="10"/>
      <c r="N47" s="10"/>
      <c r="O47" s="10"/>
      <c r="P47" s="10"/>
      <c r="Q47" s="10"/>
      <c r="R47" s="10"/>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c r="CA47" s="10"/>
      <c r="CB47" s="10"/>
      <c r="CC47" s="10"/>
      <c r="CH47" s="98"/>
    </row>
    <row r="48" spans="1:86" s="5" customFormat="1" ht="17.399999999999999" x14ac:dyDescent="0.25">
      <c r="A48" s="4" t="str">
        <f>IF(ISERROR(VALUE(SUBSTITUTE(prevWBS,".",""))),"1",IF(ISERROR(FIND("`",SUBSTITUTE(prevWBS,".","`",1))),TEXT(VALUE(prevWBS)+1,"#"),TEXT(VALUE(LEFT(prevWBS,FIND("`",SUBSTITUTE(prevWBS,".","`",1))-1))+1,"#")))</f>
        <v>9</v>
      </c>
      <c r="B48" s="104" cm="1">
        <f t="array" ref="B48">FindColor(A48)</f>
        <v>15</v>
      </c>
      <c r="C48" s="76" t="s">
        <v>3</v>
      </c>
      <c r="E48" s="6"/>
      <c r="F48" s="46"/>
      <c r="G48" s="46" t="str">
        <f t="shared" ref="G48:G50" si="39">IF(ISBLANK(F48)," - ",IF(H48=0,F48,F48+H48-1))</f>
        <v xml:space="preserve"> - </v>
      </c>
      <c r="H48" s="7"/>
      <c r="I48" s="8"/>
      <c r="J48" s="9" t="str">
        <f t="shared" ref="J48:J50" si="40">IF(OR(G48=0,F48=0)," - ",NETWORKDAYS(F48,G48))</f>
        <v xml:space="preserve"> - </v>
      </c>
      <c r="K48" s="4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1"/>
      <c r="CA48" s="51"/>
      <c r="CB48" s="51"/>
      <c r="CC48" s="51"/>
      <c r="CH48" s="97"/>
    </row>
    <row r="49" spans="1:86" s="11" customFormat="1" ht="17.399999999999999" x14ac:dyDescent="0.25">
      <c r="A49"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49" s="104" cm="1">
        <f t="array" ref="B49">FindColor(A49)</f>
        <v>35</v>
      </c>
      <c r="C49" s="63" t="s">
        <v>4</v>
      </c>
      <c r="E49" s="64"/>
      <c r="F49" s="44">
        <v>43129</v>
      </c>
      <c r="G49" s="45">
        <f t="shared" si="39"/>
        <v>43129</v>
      </c>
      <c r="H49" s="12">
        <v>1</v>
      </c>
      <c r="I49" s="13">
        <v>0</v>
      </c>
      <c r="J49" s="14">
        <f t="shared" si="40"/>
        <v>1</v>
      </c>
      <c r="K49" s="4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c r="CA49" s="10"/>
      <c r="CB49" s="10"/>
      <c r="CC49" s="10"/>
      <c r="CH49" s="98"/>
    </row>
    <row r="50" spans="1:86" s="5" customFormat="1" ht="17.399999999999999" x14ac:dyDescent="0.25">
      <c r="A50" s="4" t="str">
        <f>IF(ISERROR(VALUE(SUBSTITUTE(prevWBS,".",""))),"1",IF(ISERROR(FIND("`",SUBSTITUTE(prevWBS,".","`",1))),TEXT(VALUE(prevWBS)+1,"#"),TEXT(VALUE(LEFT(prevWBS,FIND("`",SUBSTITUTE(prevWBS,".","`",1))-1))+1,"#")))</f>
        <v>10</v>
      </c>
      <c r="B50" s="104" cm="1">
        <f t="array" ref="B50">FindColor(A50)</f>
        <v>15</v>
      </c>
      <c r="C50" s="76" t="s">
        <v>37</v>
      </c>
      <c r="E50" s="6"/>
      <c r="F50" s="46"/>
      <c r="G50" s="46" t="str">
        <f t="shared" si="39"/>
        <v xml:space="preserve"> - </v>
      </c>
      <c r="H50" s="7"/>
      <c r="I50" s="8"/>
      <c r="J50" s="9" t="str">
        <f t="shared" si="40"/>
        <v xml:space="preserve"> - </v>
      </c>
      <c r="K50" s="4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1"/>
      <c r="CA50" s="51"/>
      <c r="CB50" s="51"/>
      <c r="CC50" s="51"/>
      <c r="CH50" s="97"/>
    </row>
    <row r="51" spans="1:86" s="11" customFormat="1" ht="17.399999999999999" x14ac:dyDescent="0.25">
      <c r="A51"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51" s="104" cm="1">
        <f t="array" ref="B51">FindColor(A51)</f>
        <v>35</v>
      </c>
      <c r="C51" s="78" t="s">
        <v>38</v>
      </c>
      <c r="E51" s="64"/>
      <c r="F51" s="44">
        <v>43129</v>
      </c>
      <c r="G51" s="45">
        <f t="shared" ref="G51:G53" si="41">IF(ISBLANK(F51)," - ",IF(H51=0,F51,F51+H51-1))</f>
        <v>43129</v>
      </c>
      <c r="H51" s="12">
        <v>1</v>
      </c>
      <c r="I51" s="13">
        <v>0</v>
      </c>
      <c r="J51" s="14">
        <f t="shared" ref="J51:J53" si="42">IF(OR(G51=0,F51=0)," - ",NETWORKDAYS(F51,G51))</f>
        <v>1</v>
      </c>
      <c r="K51" s="40"/>
      <c r="L51" s="10"/>
      <c r="M51" s="10"/>
      <c r="N51" s="10"/>
      <c r="O51" s="10"/>
      <c r="P51" s="10"/>
      <c r="Q51" s="10"/>
      <c r="R51" s="10"/>
      <c r="S51" s="10"/>
      <c r="T51" s="10"/>
      <c r="U51" s="10"/>
      <c r="V51" s="10"/>
      <c r="W51" s="10"/>
      <c r="X51" s="10"/>
      <c r="Y51" s="10"/>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c r="BS51" s="10"/>
      <c r="BT51" s="10"/>
      <c r="BU51" s="10"/>
      <c r="BV51" s="10"/>
      <c r="BW51" s="10"/>
      <c r="BX51" s="10"/>
      <c r="BY51" s="10"/>
      <c r="BZ51" s="10"/>
      <c r="CA51" s="10"/>
      <c r="CB51" s="10"/>
      <c r="CC51" s="10"/>
      <c r="CH51" s="98"/>
    </row>
    <row r="52" spans="1:86" s="11" customFormat="1" ht="17.399999999999999" x14ac:dyDescent="0.25">
      <c r="A52"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10.1.1</v>
      </c>
      <c r="B52" s="104" cm="1">
        <f t="array" ref="B52">FindColor(A52)</f>
        <v>24</v>
      </c>
      <c r="C52" s="83" t="s">
        <v>39</v>
      </c>
      <c r="E52" s="64"/>
      <c r="F52" s="44">
        <v>43129</v>
      </c>
      <c r="G52" s="45">
        <f t="shared" si="41"/>
        <v>43129</v>
      </c>
      <c r="H52" s="12">
        <v>1</v>
      </c>
      <c r="I52" s="13">
        <v>0</v>
      </c>
      <c r="J52" s="14">
        <f t="shared" si="42"/>
        <v>1</v>
      </c>
      <c r="K52" s="40"/>
      <c r="L52" s="10"/>
      <c r="M52" s="10"/>
      <c r="N52" s="10"/>
      <c r="O52" s="10"/>
      <c r="P52" s="10"/>
      <c r="Q52" s="10"/>
      <c r="R52" s="10"/>
      <c r="S52" s="10"/>
      <c r="T52" s="10"/>
      <c r="U52" s="10"/>
      <c r="V52" s="10"/>
      <c r="W52" s="10"/>
      <c r="X52" s="10"/>
      <c r="Y52" s="10"/>
      <c r="Z52" s="10"/>
      <c r="AA52" s="10"/>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c r="BS52" s="10"/>
      <c r="BT52" s="10"/>
      <c r="BU52" s="10"/>
      <c r="BV52" s="10"/>
      <c r="BW52" s="10"/>
      <c r="BX52" s="10"/>
      <c r="BY52" s="10"/>
      <c r="BZ52" s="10"/>
      <c r="CA52" s="10"/>
      <c r="CB52" s="10"/>
      <c r="CC52" s="10"/>
      <c r="CH52" s="98"/>
    </row>
    <row r="53" spans="1:86" s="11" customFormat="1" ht="17.399999999999999" x14ac:dyDescent="0.25">
      <c r="A53" s="125"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10.1.1.1</v>
      </c>
      <c r="B53" s="104" cm="1">
        <f t="array" ref="B53">FindColor(A53)</f>
        <v>19</v>
      </c>
      <c r="C53" s="83" t="s">
        <v>40</v>
      </c>
      <c r="E53" s="64"/>
      <c r="F53" s="44">
        <v>43129</v>
      </c>
      <c r="G53" s="45">
        <f t="shared" si="41"/>
        <v>43129</v>
      </c>
      <c r="H53" s="12">
        <v>1</v>
      </c>
      <c r="I53" s="13">
        <v>0</v>
      </c>
      <c r="J53" s="14">
        <f t="shared" si="42"/>
        <v>1</v>
      </c>
      <c r="K53" s="40"/>
      <c r="L53" s="10"/>
      <c r="M53" s="10"/>
      <c r="N53" s="10"/>
      <c r="O53" s="10"/>
      <c r="P53" s="10"/>
      <c r="Q53" s="10"/>
      <c r="R53" s="10"/>
      <c r="S53" s="10"/>
      <c r="T53" s="10"/>
      <c r="U53" s="10"/>
      <c r="V53" s="10"/>
      <c r="W53" s="10"/>
      <c r="X53" s="10"/>
      <c r="Y53" s="10"/>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c r="BS53" s="10"/>
      <c r="BT53" s="10"/>
      <c r="BU53" s="10"/>
      <c r="BV53" s="10"/>
      <c r="BW53" s="10"/>
      <c r="BX53" s="10"/>
      <c r="BY53" s="10"/>
      <c r="BZ53" s="10"/>
      <c r="CA53" s="10"/>
      <c r="CB53" s="10"/>
      <c r="CC53" s="10"/>
      <c r="CH53" s="98"/>
    </row>
    <row r="54" spans="1:86" s="122" customFormat="1" ht="17.399999999999999" x14ac:dyDescent="0.25">
      <c r="A54" s="127"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10.1.1.1.1</v>
      </c>
      <c r="B54" s="104" cm="1">
        <f t="array" ref="B54">FindColor(A54)</f>
        <v>40</v>
      </c>
      <c r="C54" s="121" t="s">
        <v>57</v>
      </c>
      <c r="E54" s="67"/>
      <c r="F54" s="68"/>
      <c r="G54" s="69"/>
      <c r="H54" s="70"/>
      <c r="I54" s="71"/>
      <c r="J54" s="72"/>
      <c r="K54" s="73"/>
      <c r="L54" s="123"/>
      <c r="M54" s="123"/>
      <c r="N54" s="123"/>
      <c r="O54" s="123"/>
      <c r="P54" s="123"/>
      <c r="Q54" s="123"/>
      <c r="R54" s="123"/>
      <c r="S54" s="123"/>
      <c r="T54" s="123"/>
      <c r="U54" s="123"/>
      <c r="V54" s="123"/>
      <c r="W54" s="123"/>
      <c r="X54" s="123"/>
      <c r="Y54" s="123"/>
      <c r="Z54" s="123"/>
      <c r="AA54" s="123"/>
      <c r="AB54" s="123"/>
      <c r="AC54" s="123"/>
      <c r="AD54" s="123"/>
      <c r="AE54" s="123"/>
      <c r="AF54" s="123"/>
      <c r="AG54" s="123"/>
      <c r="AH54" s="123"/>
      <c r="AI54" s="123"/>
      <c r="AJ54" s="123"/>
      <c r="AK54" s="123"/>
      <c r="AL54" s="123"/>
      <c r="AM54" s="123"/>
      <c r="AN54" s="123"/>
      <c r="AO54" s="123"/>
      <c r="AP54" s="123"/>
      <c r="AQ54" s="123"/>
      <c r="AR54" s="123"/>
      <c r="AS54" s="123"/>
      <c r="AT54" s="123"/>
      <c r="AU54" s="123"/>
      <c r="AV54" s="123"/>
      <c r="AW54" s="123"/>
      <c r="AX54" s="123"/>
      <c r="AY54" s="123"/>
      <c r="AZ54" s="123"/>
      <c r="BA54" s="123"/>
      <c r="BB54" s="123"/>
      <c r="BC54" s="123"/>
      <c r="BD54" s="123"/>
      <c r="BE54" s="123"/>
      <c r="BF54" s="123"/>
      <c r="BG54" s="123"/>
      <c r="BH54" s="123"/>
      <c r="BI54" s="123"/>
      <c r="BJ54" s="123"/>
      <c r="BK54" s="123"/>
      <c r="BL54" s="123"/>
      <c r="BM54" s="123"/>
      <c r="BN54" s="123"/>
      <c r="BO54" s="123"/>
      <c r="BP54" s="123"/>
      <c r="BQ54" s="123"/>
      <c r="BR54" s="123"/>
      <c r="BS54" s="123"/>
      <c r="BT54" s="123"/>
      <c r="BU54" s="123"/>
      <c r="BV54" s="123"/>
      <c r="BW54" s="123"/>
      <c r="BX54" s="123"/>
      <c r="BY54" s="123"/>
      <c r="BZ54" s="123"/>
      <c r="CA54" s="123"/>
      <c r="CB54" s="123"/>
      <c r="CC54" s="123"/>
      <c r="CH54" s="124"/>
    </row>
    <row r="55" spans="1:86" s="109" customFormat="1" ht="18" thickBot="1" x14ac:dyDescent="0.3">
      <c r="A55" s="118"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10.1.1.1.2</v>
      </c>
      <c r="B55" s="126" cm="1">
        <f t="array" ref="B55">FindColor(A55)</f>
        <v>40</v>
      </c>
      <c r="C55" s="94" t="s">
        <v>57</v>
      </c>
      <c r="E55" s="110"/>
      <c r="F55" s="111"/>
      <c r="G55" s="112"/>
      <c r="H55" s="113"/>
      <c r="I55" s="114"/>
      <c r="J55" s="115"/>
      <c r="K55" s="116"/>
      <c r="L55" s="94"/>
      <c r="M55" s="94"/>
      <c r="N55" s="94"/>
      <c r="O55" s="94"/>
      <c r="P55" s="94"/>
      <c r="Q55" s="94"/>
      <c r="R55" s="94"/>
      <c r="S55" s="94"/>
      <c r="T55" s="94"/>
      <c r="U55" s="94"/>
      <c r="V55" s="94"/>
      <c r="W55" s="94"/>
      <c r="X55" s="94"/>
      <c r="Y55" s="94"/>
      <c r="Z55" s="94"/>
      <c r="AA55" s="94"/>
      <c r="AB55" s="94"/>
      <c r="AC55" s="94"/>
      <c r="AD55" s="94"/>
      <c r="AE55" s="94"/>
      <c r="AF55" s="94"/>
      <c r="AG55" s="94"/>
      <c r="AH55" s="94"/>
      <c r="AI55" s="94"/>
      <c r="AJ55" s="94"/>
      <c r="AK55" s="94"/>
      <c r="AL55" s="94"/>
      <c r="AM55" s="94"/>
      <c r="AN55" s="94"/>
      <c r="AO55" s="94"/>
      <c r="AP55" s="94"/>
      <c r="AQ55" s="94"/>
      <c r="AR55" s="94"/>
      <c r="AS55" s="94"/>
      <c r="AT55" s="94"/>
      <c r="AU55" s="94"/>
      <c r="AV55" s="94"/>
      <c r="AW55" s="94"/>
      <c r="AX55" s="94"/>
      <c r="AY55" s="94"/>
      <c r="AZ55" s="94"/>
      <c r="BA55" s="94"/>
      <c r="BB55" s="94"/>
      <c r="BC55" s="94"/>
      <c r="BD55" s="94"/>
      <c r="BE55" s="94"/>
      <c r="BF55" s="94"/>
      <c r="BG55" s="94"/>
      <c r="BH55" s="94"/>
      <c r="BI55" s="94"/>
      <c r="BJ55" s="94"/>
      <c r="BK55" s="94"/>
      <c r="BL55" s="94"/>
      <c r="BM55" s="94"/>
      <c r="BN55" s="94"/>
      <c r="BO55" s="94"/>
      <c r="BP55" s="94"/>
      <c r="BQ55" s="94"/>
      <c r="BR55" s="94"/>
      <c r="BS55" s="94"/>
      <c r="BT55" s="94"/>
      <c r="BU55" s="94"/>
      <c r="BV55" s="94"/>
      <c r="BW55" s="94"/>
      <c r="BX55" s="94"/>
      <c r="BY55" s="94"/>
      <c r="BZ55" s="94"/>
      <c r="CA55" s="94"/>
      <c r="CB55" s="94"/>
      <c r="CC55" s="94"/>
      <c r="CH55" s="117"/>
    </row>
    <row r="56" spans="1:86" s="20" customFormat="1" ht="18" thickTop="1" x14ac:dyDescent="0.25">
      <c r="A56" s="85"/>
      <c r="B56" s="85"/>
      <c r="C56" s="86"/>
      <c r="D56" s="87"/>
      <c r="E56" s="88"/>
      <c r="F56" s="89"/>
      <c r="G56" s="89"/>
      <c r="H56" s="90"/>
      <c r="I56" s="91"/>
      <c r="J56" s="92"/>
      <c r="K56" s="93"/>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85"/>
      <c r="BL56" s="85"/>
      <c r="BM56" s="85"/>
      <c r="BN56" s="85"/>
      <c r="BO56" s="85"/>
      <c r="BP56" s="85"/>
      <c r="BQ56" s="85"/>
      <c r="BR56" s="85"/>
      <c r="BS56" s="85"/>
      <c r="BT56" s="85"/>
      <c r="BU56" s="85"/>
      <c r="BV56" s="85"/>
      <c r="BW56" s="85"/>
      <c r="BX56" s="85"/>
      <c r="BY56" s="85"/>
      <c r="BZ56" s="85"/>
      <c r="CA56" s="85"/>
      <c r="CB56" s="85"/>
      <c r="CC56" s="85"/>
      <c r="CH56" s="99"/>
    </row>
    <row r="57" spans="1:86" ht="13.8" x14ac:dyDescent="0.25">
      <c r="A57" s="1" t="s">
        <v>28</v>
      </c>
      <c r="B57" s="1"/>
      <c r="C57" s="129" t="s">
        <v>31</v>
      </c>
    </row>
    <row r="58" spans="1:86" x14ac:dyDescent="0.25">
      <c r="A58" s="1" t="s">
        <v>29</v>
      </c>
      <c r="B58" s="1"/>
      <c r="C58" s="77" t="s">
        <v>30</v>
      </c>
    </row>
    <row r="59" spans="1:86" s="20" customFormat="1" ht="17.399999999999999" x14ac:dyDescent="0.25">
      <c r="A59" s="85"/>
      <c r="B59" s="85"/>
      <c r="C59" s="86"/>
      <c r="D59" s="87"/>
      <c r="E59" s="88"/>
      <c r="F59" s="89"/>
      <c r="G59" s="89"/>
      <c r="H59" s="90"/>
      <c r="I59" s="91"/>
      <c r="J59" s="92"/>
      <c r="K59" s="93"/>
      <c r="L59" s="85"/>
      <c r="M59" s="85"/>
      <c r="N59" s="85"/>
      <c r="O59" s="85"/>
      <c r="P59" s="85"/>
      <c r="Q59" s="85"/>
      <c r="R59" s="85"/>
      <c r="S59" s="85"/>
      <c r="T59" s="85"/>
      <c r="U59" s="85"/>
      <c r="V59" s="85"/>
      <c r="W59" s="85"/>
      <c r="X59" s="85"/>
      <c r="Y59" s="85"/>
      <c r="Z59" s="85"/>
      <c r="AA59" s="85"/>
      <c r="AB59" s="85"/>
      <c r="AC59" s="85"/>
      <c r="AD59" s="85"/>
      <c r="AE59" s="85"/>
      <c r="AF59" s="85"/>
      <c r="AG59" s="85"/>
      <c r="AH59" s="85"/>
      <c r="AI59" s="85"/>
      <c r="AJ59" s="85"/>
      <c r="AK59" s="85"/>
      <c r="AL59" s="85"/>
      <c r="AM59" s="85"/>
      <c r="AN59" s="85"/>
      <c r="AO59" s="85"/>
      <c r="AP59" s="85"/>
      <c r="AQ59" s="85"/>
      <c r="AR59" s="85"/>
      <c r="AS59" s="85"/>
      <c r="AT59" s="85"/>
      <c r="AU59" s="85"/>
      <c r="AV59" s="85"/>
      <c r="AW59" s="85"/>
      <c r="AX59" s="85"/>
      <c r="AY59" s="85"/>
      <c r="AZ59" s="85"/>
      <c r="BA59" s="85"/>
      <c r="BB59" s="85"/>
      <c r="BC59" s="85"/>
      <c r="BD59" s="85"/>
      <c r="BE59" s="85"/>
      <c r="BF59" s="85"/>
      <c r="BG59" s="85"/>
      <c r="BH59" s="85"/>
      <c r="BI59" s="85"/>
      <c r="BJ59" s="85"/>
      <c r="BK59" s="85"/>
      <c r="BL59" s="85"/>
      <c r="BM59" s="85"/>
      <c r="BN59" s="85"/>
      <c r="BO59" s="85"/>
      <c r="BP59" s="85"/>
      <c r="BQ59" s="85"/>
      <c r="BR59" s="85"/>
      <c r="BS59" s="85"/>
      <c r="BT59" s="85"/>
      <c r="BU59" s="85"/>
      <c r="BV59" s="85"/>
      <c r="BW59" s="85"/>
      <c r="BX59" s="85"/>
      <c r="BY59" s="85"/>
      <c r="BZ59" s="85"/>
      <c r="CA59" s="85"/>
      <c r="CB59" s="85"/>
      <c r="CC59" s="85"/>
      <c r="CH59" s="99"/>
    </row>
    <row r="60" spans="1:86" s="20" customFormat="1" ht="17.399999999999999" x14ac:dyDescent="0.25">
      <c r="A60" s="85"/>
      <c r="B60" s="85"/>
      <c r="C60" s="86"/>
      <c r="D60" s="87"/>
      <c r="E60" s="88"/>
      <c r="F60" s="89"/>
      <c r="G60" s="89"/>
      <c r="H60" s="90"/>
      <c r="I60" s="91"/>
      <c r="J60" s="92"/>
      <c r="K60" s="93"/>
      <c r="L60" s="85"/>
      <c r="M60" s="85"/>
      <c r="N60" s="85"/>
      <c r="O60" s="85"/>
      <c r="P60" s="85"/>
      <c r="Q60" s="85"/>
      <c r="R60" s="85"/>
      <c r="S60" s="85"/>
      <c r="T60" s="85"/>
      <c r="U60" s="85"/>
      <c r="V60" s="85"/>
      <c r="W60" s="85"/>
      <c r="X60" s="85"/>
      <c r="Y60" s="85"/>
      <c r="Z60" s="85"/>
      <c r="AA60" s="85"/>
      <c r="AB60" s="85"/>
      <c r="AC60" s="85"/>
      <c r="AD60" s="85"/>
      <c r="AE60" s="85"/>
      <c r="AF60" s="85"/>
      <c r="AG60" s="85"/>
      <c r="AH60" s="85"/>
      <c r="AI60" s="85"/>
      <c r="AJ60" s="85"/>
      <c r="AK60" s="85"/>
      <c r="AL60" s="85"/>
      <c r="AM60" s="85"/>
      <c r="AN60" s="85"/>
      <c r="AO60" s="85"/>
      <c r="AP60" s="85"/>
      <c r="AQ60" s="85"/>
      <c r="AR60" s="85"/>
      <c r="AS60" s="85"/>
      <c r="AT60" s="85"/>
      <c r="AU60" s="85"/>
      <c r="AV60" s="85"/>
      <c r="AW60" s="85"/>
      <c r="AX60" s="85"/>
      <c r="AY60" s="85"/>
      <c r="AZ60" s="85"/>
      <c r="BA60" s="85"/>
      <c r="BB60" s="85"/>
      <c r="BC60" s="85"/>
      <c r="BD60" s="85"/>
      <c r="BE60" s="85"/>
      <c r="BF60" s="85"/>
      <c r="BG60" s="85"/>
      <c r="BH60" s="85"/>
      <c r="BI60" s="85"/>
      <c r="BJ60" s="85"/>
      <c r="BK60" s="85"/>
      <c r="BL60" s="85"/>
      <c r="BM60" s="85"/>
      <c r="BN60" s="85"/>
      <c r="BO60" s="85"/>
      <c r="BP60" s="85"/>
      <c r="BQ60" s="85"/>
      <c r="BR60" s="85"/>
      <c r="BS60" s="85"/>
      <c r="BT60" s="85"/>
      <c r="BU60" s="85"/>
      <c r="BV60" s="85"/>
      <c r="BW60" s="85"/>
      <c r="BX60" s="85"/>
      <c r="BY60" s="85"/>
      <c r="BZ60" s="85"/>
      <c r="CA60" s="85"/>
      <c r="CB60" s="85"/>
      <c r="CC60" s="85"/>
      <c r="CH60" s="99"/>
    </row>
    <row r="61" spans="1:86" s="20" customFormat="1" ht="17.399999999999999" x14ac:dyDescent="0.25">
      <c r="A61" s="85"/>
      <c r="B61" s="85"/>
      <c r="C61" s="86"/>
      <c r="D61" s="87"/>
      <c r="E61" s="88"/>
      <c r="F61" s="89"/>
      <c r="G61" s="89"/>
      <c r="H61" s="90"/>
      <c r="I61" s="91"/>
      <c r="J61" s="92"/>
      <c r="K61" s="93"/>
      <c r="L61" s="85"/>
      <c r="M61" s="85"/>
      <c r="N61" s="85"/>
      <c r="O61" s="85"/>
      <c r="P61" s="85"/>
      <c r="Q61" s="85"/>
      <c r="R61" s="85"/>
      <c r="S61" s="85"/>
      <c r="T61" s="85"/>
      <c r="U61" s="85"/>
      <c r="V61" s="85"/>
      <c r="W61" s="85"/>
      <c r="X61" s="85"/>
      <c r="Y61" s="85"/>
      <c r="Z61" s="85"/>
      <c r="AA61" s="85"/>
      <c r="AB61" s="85"/>
      <c r="AC61" s="85"/>
      <c r="AD61" s="85"/>
      <c r="AE61" s="85"/>
      <c r="AF61" s="85"/>
      <c r="AG61" s="85"/>
      <c r="AH61" s="85"/>
      <c r="AI61" s="85"/>
      <c r="AJ61" s="85"/>
      <c r="AK61" s="85"/>
      <c r="AL61" s="85"/>
      <c r="AM61" s="85"/>
      <c r="AN61" s="85"/>
      <c r="AO61" s="85"/>
      <c r="AP61" s="85"/>
      <c r="AQ61" s="85"/>
      <c r="AR61" s="85"/>
      <c r="AS61" s="85"/>
      <c r="AT61" s="85"/>
      <c r="AU61" s="85"/>
      <c r="AV61" s="85"/>
      <c r="AW61" s="85"/>
      <c r="AX61" s="85"/>
      <c r="AY61" s="85"/>
      <c r="AZ61" s="85"/>
      <c r="BA61" s="85"/>
      <c r="BB61" s="85"/>
      <c r="BC61" s="85"/>
      <c r="BD61" s="85"/>
      <c r="BE61" s="85"/>
      <c r="BF61" s="85"/>
      <c r="BG61" s="85"/>
      <c r="BH61" s="85"/>
      <c r="BI61" s="85"/>
      <c r="BJ61" s="85"/>
      <c r="BK61" s="85"/>
      <c r="BL61" s="85"/>
      <c r="BM61" s="85"/>
      <c r="BN61" s="85"/>
      <c r="BO61" s="85"/>
      <c r="BP61" s="85"/>
      <c r="BQ61" s="85"/>
      <c r="BR61" s="85"/>
      <c r="BS61" s="85"/>
      <c r="BT61" s="85"/>
      <c r="BU61" s="85"/>
      <c r="BV61" s="85"/>
      <c r="BW61" s="85"/>
      <c r="BX61" s="85"/>
      <c r="BY61" s="85"/>
      <c r="BZ61" s="85"/>
      <c r="CA61" s="85"/>
      <c r="CB61" s="85"/>
      <c r="CC61" s="85"/>
      <c r="CH61" s="99"/>
    </row>
    <row r="62" spans="1:86" s="20" customFormat="1" ht="17.399999999999999" x14ac:dyDescent="0.25">
      <c r="A62" s="85"/>
      <c r="B62" s="85"/>
      <c r="C62" s="86"/>
      <c r="D62" s="87"/>
      <c r="E62" s="88"/>
      <c r="F62" s="89"/>
      <c r="G62" s="89"/>
      <c r="H62" s="90"/>
      <c r="I62" s="91"/>
      <c r="J62" s="92"/>
      <c r="K62" s="93"/>
      <c r="L62" s="85"/>
      <c r="M62" s="85"/>
      <c r="N62" s="85"/>
      <c r="O62" s="85"/>
      <c r="P62" s="85"/>
      <c r="Q62" s="85"/>
      <c r="R62" s="85"/>
      <c r="S62" s="85"/>
      <c r="T62" s="85"/>
      <c r="U62" s="85"/>
      <c r="V62" s="85"/>
      <c r="W62" s="85"/>
      <c r="X62" s="85"/>
      <c r="Y62" s="85"/>
      <c r="Z62" s="85"/>
      <c r="AA62" s="85"/>
      <c r="AB62" s="85"/>
      <c r="AC62" s="85"/>
      <c r="AD62" s="85"/>
      <c r="AE62" s="85"/>
      <c r="AF62" s="85"/>
      <c r="AG62" s="85"/>
      <c r="AH62" s="85"/>
      <c r="AI62" s="85"/>
      <c r="AJ62" s="85"/>
      <c r="AK62" s="85"/>
      <c r="AL62" s="85"/>
      <c r="AM62" s="85"/>
      <c r="AN62" s="85"/>
      <c r="AO62" s="85"/>
      <c r="AP62" s="85"/>
      <c r="AQ62" s="85"/>
      <c r="AR62" s="85"/>
      <c r="AS62" s="85"/>
      <c r="AT62" s="85"/>
      <c r="AU62" s="85"/>
      <c r="AV62" s="85"/>
      <c r="AW62" s="85"/>
      <c r="AX62" s="85"/>
      <c r="AY62" s="85"/>
      <c r="AZ62" s="85"/>
      <c r="BA62" s="85"/>
      <c r="BB62" s="85"/>
      <c r="BC62" s="85"/>
      <c r="BD62" s="85"/>
      <c r="BE62" s="85"/>
      <c r="BF62" s="85"/>
      <c r="BG62" s="85"/>
      <c r="BH62" s="85"/>
      <c r="BI62" s="85"/>
      <c r="BJ62" s="85"/>
      <c r="BK62" s="85"/>
      <c r="BL62" s="85"/>
      <c r="BM62" s="85"/>
      <c r="BN62" s="85"/>
      <c r="BO62" s="85"/>
      <c r="BP62" s="85"/>
      <c r="BQ62" s="85"/>
      <c r="BR62" s="85"/>
      <c r="BS62" s="85"/>
      <c r="BT62" s="85"/>
      <c r="BU62" s="85"/>
      <c r="BV62" s="85"/>
      <c r="BW62" s="85"/>
      <c r="BX62" s="85"/>
      <c r="BY62" s="85"/>
      <c r="BZ62" s="85"/>
      <c r="CA62" s="85"/>
      <c r="CB62" s="85"/>
      <c r="CC62" s="85"/>
      <c r="CH62" s="99"/>
    </row>
    <row r="63" spans="1:86" s="20" customFormat="1" ht="17.399999999999999" x14ac:dyDescent="0.25">
      <c r="A63" s="85"/>
      <c r="B63" s="85"/>
      <c r="C63" s="86"/>
      <c r="D63" s="87"/>
      <c r="E63" s="88"/>
      <c r="F63" s="89"/>
      <c r="G63" s="89"/>
      <c r="H63" s="90"/>
      <c r="I63" s="91"/>
      <c r="J63" s="92"/>
      <c r="K63" s="93"/>
      <c r="L63" s="85"/>
      <c r="M63" s="85"/>
      <c r="N63" s="85"/>
      <c r="O63" s="85"/>
      <c r="P63" s="85"/>
      <c r="Q63" s="85"/>
      <c r="R63" s="85"/>
      <c r="S63" s="85"/>
      <c r="T63" s="85"/>
      <c r="U63" s="85"/>
      <c r="V63" s="85"/>
      <c r="W63" s="85"/>
      <c r="X63" s="85"/>
      <c r="Y63" s="85"/>
      <c r="Z63" s="85"/>
      <c r="AA63" s="85"/>
      <c r="AB63" s="85"/>
      <c r="AC63" s="85"/>
      <c r="AD63" s="85"/>
      <c r="AE63" s="85"/>
      <c r="AF63" s="85"/>
      <c r="AG63" s="85"/>
      <c r="AH63" s="85"/>
      <c r="AI63" s="85"/>
      <c r="AJ63" s="85"/>
      <c r="AK63" s="85"/>
      <c r="AL63" s="85"/>
      <c r="AM63" s="85"/>
      <c r="AN63" s="85"/>
      <c r="AO63" s="85"/>
      <c r="AP63" s="85"/>
      <c r="AQ63" s="85"/>
      <c r="AR63" s="85"/>
      <c r="AS63" s="85"/>
      <c r="AT63" s="85"/>
      <c r="AU63" s="85"/>
      <c r="AV63" s="85"/>
      <c r="AW63" s="85"/>
      <c r="AX63" s="85"/>
      <c r="AY63" s="85"/>
      <c r="AZ63" s="85"/>
      <c r="BA63" s="85"/>
      <c r="BB63" s="85"/>
      <c r="BC63" s="85"/>
      <c r="BD63" s="85"/>
      <c r="BE63" s="85"/>
      <c r="BF63" s="85"/>
      <c r="BG63" s="85"/>
      <c r="BH63" s="85"/>
      <c r="BI63" s="85"/>
      <c r="BJ63" s="85"/>
      <c r="BK63" s="85"/>
      <c r="BL63" s="85"/>
      <c r="BM63" s="85"/>
      <c r="BN63" s="85"/>
      <c r="BO63" s="85"/>
      <c r="BP63" s="85"/>
      <c r="BQ63" s="85"/>
      <c r="BR63" s="85"/>
      <c r="BS63" s="85"/>
      <c r="BT63" s="85"/>
      <c r="BU63" s="85"/>
      <c r="BV63" s="85"/>
      <c r="BW63" s="85"/>
      <c r="BX63" s="85"/>
      <c r="BY63" s="85"/>
      <c r="BZ63" s="85"/>
      <c r="CA63" s="85"/>
      <c r="CB63" s="85"/>
      <c r="CC63" s="85"/>
      <c r="CH63" s="99"/>
    </row>
    <row r="64" spans="1:86" s="20" customFormat="1" ht="17.399999999999999" x14ac:dyDescent="0.25">
      <c r="A64" s="85"/>
      <c r="B64" s="85"/>
      <c r="C64" s="86"/>
      <c r="D64" s="87"/>
      <c r="E64" s="88"/>
      <c r="F64" s="89"/>
      <c r="G64" s="89"/>
      <c r="H64" s="90"/>
      <c r="I64" s="91"/>
      <c r="J64" s="92"/>
      <c r="K64" s="93"/>
      <c r="L64" s="85"/>
      <c r="M64" s="85"/>
      <c r="N64" s="85"/>
      <c r="O64" s="85"/>
      <c r="P64" s="85"/>
      <c r="Q64" s="85"/>
      <c r="R64" s="85"/>
      <c r="S64" s="85"/>
      <c r="T64" s="85"/>
      <c r="U64" s="85"/>
      <c r="V64" s="85"/>
      <c r="W64" s="85"/>
      <c r="X64" s="85"/>
      <c r="Y64" s="85"/>
      <c r="Z64" s="85"/>
      <c r="AA64" s="85"/>
      <c r="AB64" s="85"/>
      <c r="AC64" s="85"/>
      <c r="AD64" s="85"/>
      <c r="AE64" s="85"/>
      <c r="AF64" s="85"/>
      <c r="AG64" s="85"/>
      <c r="AH64" s="85"/>
      <c r="AI64" s="85"/>
      <c r="AJ64" s="85"/>
      <c r="AK64" s="85"/>
      <c r="AL64" s="85"/>
      <c r="AM64" s="85"/>
      <c r="AN64" s="85"/>
      <c r="AO64" s="85"/>
      <c r="AP64" s="85"/>
      <c r="AQ64" s="85"/>
      <c r="AR64" s="85"/>
      <c r="AS64" s="85"/>
      <c r="AT64" s="85"/>
      <c r="AU64" s="85"/>
      <c r="AV64" s="85"/>
      <c r="AW64" s="85"/>
      <c r="AX64" s="85"/>
      <c r="AY64" s="85"/>
      <c r="AZ64" s="85"/>
      <c r="BA64" s="85"/>
      <c r="BB64" s="85"/>
      <c r="BC64" s="85"/>
      <c r="BD64" s="85"/>
      <c r="BE64" s="85"/>
      <c r="BF64" s="85"/>
      <c r="BG64" s="85"/>
      <c r="BH64" s="85"/>
      <c r="BI64" s="85"/>
      <c r="BJ64" s="85"/>
      <c r="BK64" s="85"/>
      <c r="BL64" s="85"/>
      <c r="BM64" s="85"/>
      <c r="BN64" s="85"/>
      <c r="BO64" s="85"/>
      <c r="BP64" s="85"/>
      <c r="BQ64" s="85"/>
      <c r="BR64" s="85"/>
      <c r="BS64" s="85"/>
      <c r="BT64" s="85"/>
      <c r="BU64" s="85"/>
      <c r="BV64" s="85"/>
      <c r="BW64" s="85"/>
      <c r="BX64" s="85"/>
      <c r="BY64" s="85"/>
      <c r="BZ64" s="85"/>
      <c r="CA64" s="85"/>
      <c r="CB64" s="85"/>
      <c r="CC64" s="85"/>
      <c r="CH64" s="99"/>
    </row>
    <row r="65" spans="1:86" s="20" customFormat="1" ht="17.399999999999999" x14ac:dyDescent="0.25">
      <c r="A65" s="85"/>
      <c r="B65" s="85"/>
      <c r="C65" s="86"/>
      <c r="D65" s="87"/>
      <c r="E65" s="88"/>
      <c r="F65" s="89"/>
      <c r="G65" s="89"/>
      <c r="H65" s="90"/>
      <c r="I65" s="91"/>
      <c r="J65" s="92"/>
      <c r="K65" s="93"/>
      <c r="L65" s="85"/>
      <c r="M65" s="85"/>
      <c r="N65" s="85"/>
      <c r="O65" s="85"/>
      <c r="P65" s="85"/>
      <c r="Q65" s="85"/>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85"/>
      <c r="BA65" s="85"/>
      <c r="BB65" s="85"/>
      <c r="BC65" s="85"/>
      <c r="BD65" s="85"/>
      <c r="BE65" s="85"/>
      <c r="BF65" s="85"/>
      <c r="BG65" s="85"/>
      <c r="BH65" s="85"/>
      <c r="BI65" s="85"/>
      <c r="BJ65" s="85"/>
      <c r="BK65" s="85"/>
      <c r="BL65" s="85"/>
      <c r="BM65" s="85"/>
      <c r="BN65" s="85"/>
      <c r="BO65" s="85"/>
      <c r="BP65" s="85"/>
      <c r="BQ65" s="85"/>
      <c r="BR65" s="85"/>
      <c r="BS65" s="85"/>
      <c r="BT65" s="85"/>
      <c r="BU65" s="85"/>
      <c r="BV65" s="85"/>
      <c r="BW65" s="85"/>
      <c r="BX65" s="85"/>
      <c r="BY65" s="85"/>
      <c r="BZ65" s="85"/>
      <c r="CA65" s="85"/>
      <c r="CB65" s="85"/>
      <c r="CC65" s="85"/>
      <c r="CH65" s="99"/>
    </row>
    <row r="66" spans="1:86" s="20" customFormat="1" ht="17.399999999999999" x14ac:dyDescent="0.25">
      <c r="A66" s="85"/>
      <c r="B66" s="85"/>
      <c r="C66" s="86"/>
      <c r="D66" s="87"/>
      <c r="E66" s="88"/>
      <c r="F66" s="89"/>
      <c r="G66" s="89"/>
      <c r="H66" s="90"/>
      <c r="I66" s="91"/>
      <c r="J66" s="92"/>
      <c r="K66" s="93"/>
      <c r="L66" s="85"/>
      <c r="M66" s="85"/>
      <c r="N66" s="85"/>
      <c r="O66" s="85"/>
      <c r="P66" s="85"/>
      <c r="Q66" s="85"/>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85"/>
      <c r="BA66" s="85"/>
      <c r="BB66" s="85"/>
      <c r="BC66" s="85"/>
      <c r="BD66" s="85"/>
      <c r="BE66" s="85"/>
      <c r="BF66" s="85"/>
      <c r="BG66" s="85"/>
      <c r="BH66" s="85"/>
      <c r="BI66" s="85"/>
      <c r="BJ66" s="85"/>
      <c r="BK66" s="85"/>
      <c r="BL66" s="85"/>
      <c r="BM66" s="85"/>
      <c r="BN66" s="85"/>
      <c r="BO66" s="85"/>
      <c r="BP66" s="85"/>
      <c r="BQ66" s="85"/>
      <c r="BR66" s="85"/>
      <c r="BS66" s="85"/>
      <c r="BT66" s="85"/>
      <c r="BU66" s="85"/>
      <c r="BV66" s="85"/>
      <c r="BW66" s="85"/>
      <c r="BX66" s="85"/>
      <c r="BY66" s="85"/>
      <c r="BZ66" s="85"/>
      <c r="CA66" s="85"/>
      <c r="CB66" s="85"/>
      <c r="CC66" s="85"/>
      <c r="CH66" s="99"/>
    </row>
    <row r="67" spans="1:86" s="20" customFormat="1" ht="17.399999999999999" x14ac:dyDescent="0.25">
      <c r="A67" s="85"/>
      <c r="B67" s="85"/>
      <c r="C67" s="86"/>
      <c r="D67" s="87"/>
      <c r="E67" s="88"/>
      <c r="F67" s="89"/>
      <c r="G67" s="89"/>
      <c r="H67" s="90"/>
      <c r="I67" s="91"/>
      <c r="J67" s="92"/>
      <c r="K67" s="93"/>
      <c r="L67" s="85"/>
      <c r="M67" s="85"/>
      <c r="N67" s="85"/>
      <c r="O67" s="85"/>
      <c r="P67" s="85"/>
      <c r="Q67" s="85"/>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85"/>
      <c r="BA67" s="85"/>
      <c r="BB67" s="85"/>
      <c r="BC67" s="85"/>
      <c r="BD67" s="85"/>
      <c r="BE67" s="85"/>
      <c r="BF67" s="85"/>
      <c r="BG67" s="85"/>
      <c r="BH67" s="85"/>
      <c r="BI67" s="85"/>
      <c r="BJ67" s="85"/>
      <c r="BK67" s="85"/>
      <c r="BL67" s="85"/>
      <c r="BM67" s="85"/>
      <c r="BN67" s="85"/>
      <c r="BO67" s="85"/>
      <c r="BP67" s="85"/>
      <c r="BQ67" s="85"/>
      <c r="BR67" s="85"/>
      <c r="BS67" s="85"/>
      <c r="BT67" s="85"/>
      <c r="BU67" s="85"/>
      <c r="BV67" s="85"/>
      <c r="BW67" s="85"/>
      <c r="BX67" s="85"/>
      <c r="BY67" s="85"/>
      <c r="BZ67" s="85"/>
      <c r="CA67" s="85"/>
      <c r="CB67" s="85"/>
      <c r="CC67" s="85"/>
      <c r="CH67" s="99"/>
    </row>
    <row r="68" spans="1:86" s="20" customFormat="1" ht="17.399999999999999" x14ac:dyDescent="0.25">
      <c r="A68" s="85"/>
      <c r="B68" s="85"/>
      <c r="C68" s="86"/>
      <c r="D68" s="87"/>
      <c r="E68" s="88"/>
      <c r="F68" s="89"/>
      <c r="G68" s="89"/>
      <c r="H68" s="90"/>
      <c r="I68" s="91"/>
      <c r="J68" s="92"/>
      <c r="K68" s="93"/>
      <c r="L68" s="85"/>
      <c r="M68" s="85"/>
      <c r="N68" s="85"/>
      <c r="O68" s="85"/>
      <c r="P68" s="85"/>
      <c r="Q68" s="85"/>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85"/>
      <c r="BA68" s="85"/>
      <c r="BB68" s="85"/>
      <c r="BC68" s="85"/>
      <c r="BD68" s="85"/>
      <c r="BE68" s="85"/>
      <c r="BF68" s="85"/>
      <c r="BG68" s="85"/>
      <c r="BH68" s="85"/>
      <c r="BI68" s="85"/>
      <c r="BJ68" s="85"/>
      <c r="BK68" s="85"/>
      <c r="BL68" s="85"/>
      <c r="BM68" s="85"/>
      <c r="BN68" s="85"/>
      <c r="BO68" s="85"/>
      <c r="BP68" s="85"/>
      <c r="BQ68" s="85"/>
      <c r="BR68" s="85"/>
      <c r="BS68" s="85"/>
      <c r="BT68" s="85"/>
      <c r="BU68" s="85"/>
      <c r="BV68" s="85"/>
      <c r="BW68" s="85"/>
      <c r="BX68" s="85"/>
      <c r="BY68" s="85"/>
      <c r="BZ68" s="85"/>
      <c r="CA68" s="85"/>
      <c r="CB68" s="85"/>
      <c r="CC68" s="85"/>
      <c r="CH68" s="99"/>
    </row>
    <row r="69" spans="1:86" s="20" customFormat="1" ht="17.399999999999999" x14ac:dyDescent="0.25">
      <c r="A69" s="85"/>
      <c r="B69" s="85"/>
      <c r="C69" s="86"/>
      <c r="D69" s="87"/>
      <c r="E69" s="88"/>
      <c r="F69" s="89"/>
      <c r="G69" s="89"/>
      <c r="H69" s="90"/>
      <c r="I69" s="91"/>
      <c r="J69" s="92"/>
      <c r="K69" s="93"/>
      <c r="L69" s="85"/>
      <c r="M69" s="85"/>
      <c r="N69" s="85"/>
      <c r="O69" s="85"/>
      <c r="P69" s="85"/>
      <c r="Q69" s="85"/>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85"/>
      <c r="BA69" s="85"/>
      <c r="BB69" s="85"/>
      <c r="BC69" s="85"/>
      <c r="BD69" s="85"/>
      <c r="BE69" s="85"/>
      <c r="BF69" s="85"/>
      <c r="BG69" s="85"/>
      <c r="BH69" s="85"/>
      <c r="BI69" s="85"/>
      <c r="BJ69" s="85"/>
      <c r="BK69" s="85"/>
      <c r="BL69" s="85"/>
      <c r="BM69" s="85"/>
      <c r="BN69" s="85"/>
      <c r="BO69" s="85"/>
      <c r="BP69" s="85"/>
      <c r="BQ69" s="85"/>
      <c r="BR69" s="85"/>
      <c r="BS69" s="85"/>
      <c r="BT69" s="85"/>
      <c r="BU69" s="85"/>
      <c r="BV69" s="85"/>
      <c r="BW69" s="85"/>
      <c r="BX69" s="85"/>
      <c r="BY69" s="85"/>
      <c r="BZ69" s="85"/>
      <c r="CA69" s="85"/>
      <c r="CB69" s="85"/>
      <c r="CC69" s="85"/>
      <c r="CH69" s="99"/>
    </row>
    <row r="70" spans="1:86" s="20" customFormat="1" ht="17.399999999999999" x14ac:dyDescent="0.25">
      <c r="A70" s="85"/>
      <c r="B70" s="85"/>
      <c r="C70" s="86"/>
      <c r="D70" s="87"/>
      <c r="E70" s="88"/>
      <c r="F70" s="89"/>
      <c r="G70" s="89"/>
      <c r="H70" s="90"/>
      <c r="I70" s="91"/>
      <c r="J70" s="92"/>
      <c r="K70" s="93"/>
      <c r="L70" s="85"/>
      <c r="M70" s="85"/>
      <c r="N70" s="85"/>
      <c r="O70" s="85"/>
      <c r="P70" s="85"/>
      <c r="Q70" s="85"/>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85"/>
      <c r="BA70" s="85"/>
      <c r="BB70" s="85"/>
      <c r="BC70" s="85"/>
      <c r="BD70" s="85"/>
      <c r="BE70" s="85"/>
      <c r="BF70" s="85"/>
      <c r="BG70" s="85"/>
      <c r="BH70" s="85"/>
      <c r="BI70" s="85"/>
      <c r="BJ70" s="85"/>
      <c r="BK70" s="85"/>
      <c r="BL70" s="85"/>
      <c r="BM70" s="85"/>
      <c r="BN70" s="85"/>
      <c r="BO70" s="85"/>
      <c r="BP70" s="85"/>
      <c r="BQ70" s="85"/>
      <c r="BR70" s="85"/>
      <c r="BS70" s="85"/>
      <c r="BT70" s="85"/>
      <c r="BU70" s="85"/>
      <c r="BV70" s="85"/>
      <c r="BW70" s="85"/>
      <c r="BX70" s="85"/>
      <c r="BY70" s="85"/>
      <c r="BZ70" s="85"/>
      <c r="CA70" s="85"/>
      <c r="CB70" s="85"/>
      <c r="CC70" s="85"/>
      <c r="CH70" s="99"/>
    </row>
    <row r="71" spans="1:86" s="20" customFormat="1" ht="17.399999999999999" x14ac:dyDescent="0.25">
      <c r="A71" s="85"/>
      <c r="B71" s="85"/>
      <c r="C71" s="86"/>
      <c r="D71" s="87"/>
      <c r="E71" s="88"/>
      <c r="F71" s="89"/>
      <c r="G71" s="89"/>
      <c r="H71" s="90"/>
      <c r="I71" s="91"/>
      <c r="J71" s="92"/>
      <c r="K71" s="93"/>
      <c r="L71" s="85"/>
      <c r="M71" s="85"/>
      <c r="N71" s="85"/>
      <c r="O71" s="85"/>
      <c r="P71" s="85"/>
      <c r="Q71" s="85"/>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85"/>
      <c r="BA71" s="85"/>
      <c r="BB71" s="85"/>
      <c r="BC71" s="85"/>
      <c r="BD71" s="85"/>
      <c r="BE71" s="85"/>
      <c r="BF71" s="85"/>
      <c r="BG71" s="85"/>
      <c r="BH71" s="85"/>
      <c r="BI71" s="85"/>
      <c r="BJ71" s="85"/>
      <c r="BK71" s="85"/>
      <c r="BL71" s="85"/>
      <c r="BM71" s="85"/>
      <c r="BN71" s="85"/>
      <c r="BO71" s="85"/>
      <c r="BP71" s="85"/>
      <c r="BQ71" s="85"/>
      <c r="BR71" s="85"/>
      <c r="BS71" s="85"/>
      <c r="BT71" s="85"/>
      <c r="BU71" s="85"/>
      <c r="BV71" s="85"/>
      <c r="BW71" s="85"/>
      <c r="BX71" s="85"/>
      <c r="BY71" s="85"/>
      <c r="BZ71" s="85"/>
      <c r="CA71" s="85"/>
      <c r="CB71" s="85"/>
      <c r="CC71" s="85"/>
      <c r="CH71" s="99"/>
    </row>
    <row r="72" spans="1:86" s="20" customFormat="1" ht="17.399999999999999" x14ac:dyDescent="0.25">
      <c r="A72" s="85"/>
      <c r="B72" s="85"/>
      <c r="C72" s="86"/>
      <c r="D72" s="87"/>
      <c r="E72" s="88"/>
      <c r="F72" s="89"/>
      <c r="G72" s="89"/>
      <c r="H72" s="90"/>
      <c r="I72" s="91"/>
      <c r="J72" s="92"/>
      <c r="K72" s="93"/>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85"/>
      <c r="BA72" s="85"/>
      <c r="BB72" s="85"/>
      <c r="BC72" s="85"/>
      <c r="BD72" s="85"/>
      <c r="BE72" s="85"/>
      <c r="BF72" s="85"/>
      <c r="BG72" s="85"/>
      <c r="BH72" s="85"/>
      <c r="BI72" s="85"/>
      <c r="BJ72" s="85"/>
      <c r="BK72" s="85"/>
      <c r="BL72" s="85"/>
      <c r="BM72" s="85"/>
      <c r="BN72" s="85"/>
      <c r="BO72" s="85"/>
      <c r="BP72" s="85"/>
      <c r="BQ72" s="85"/>
      <c r="BR72" s="85"/>
      <c r="BS72" s="85"/>
      <c r="BT72" s="85"/>
      <c r="BU72" s="85"/>
      <c r="BV72" s="85"/>
      <c r="BW72" s="85"/>
      <c r="BX72" s="85"/>
      <c r="BY72" s="85"/>
      <c r="BZ72" s="85"/>
      <c r="CA72" s="85"/>
      <c r="CB72" s="85"/>
      <c r="CC72" s="85"/>
      <c r="CH72" s="99"/>
    </row>
    <row r="73" spans="1:86" s="20" customFormat="1" ht="17.399999999999999" x14ac:dyDescent="0.25">
      <c r="A73" s="85"/>
      <c r="B73" s="85"/>
      <c r="C73" s="86"/>
      <c r="D73" s="87"/>
      <c r="E73" s="88"/>
      <c r="F73" s="89"/>
      <c r="G73" s="89"/>
      <c r="H73" s="90"/>
      <c r="I73" s="91"/>
      <c r="J73" s="92"/>
      <c r="K73" s="93"/>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85"/>
      <c r="BA73" s="85"/>
      <c r="BB73" s="85"/>
      <c r="BC73" s="85"/>
      <c r="BD73" s="85"/>
      <c r="BE73" s="85"/>
      <c r="BF73" s="85"/>
      <c r="BG73" s="85"/>
      <c r="BH73" s="85"/>
      <c r="BI73" s="85"/>
      <c r="BJ73" s="85"/>
      <c r="BK73" s="85"/>
      <c r="BL73" s="85"/>
      <c r="BM73" s="85"/>
      <c r="BN73" s="85"/>
      <c r="BO73" s="85"/>
      <c r="BP73" s="85"/>
      <c r="BQ73" s="85"/>
      <c r="BR73" s="85"/>
      <c r="BS73" s="85"/>
      <c r="BT73" s="85"/>
      <c r="BU73" s="85"/>
      <c r="BV73" s="85"/>
      <c r="BW73" s="85"/>
      <c r="BX73" s="85"/>
      <c r="BY73" s="85"/>
      <c r="BZ73" s="85"/>
      <c r="CA73" s="85"/>
      <c r="CB73" s="85"/>
      <c r="CC73" s="85"/>
      <c r="CH73" s="99"/>
    </row>
    <row r="74" spans="1:86" s="20" customFormat="1" ht="17.399999999999999" x14ac:dyDescent="0.25">
      <c r="A74" s="85"/>
      <c r="B74" s="85"/>
      <c r="C74" s="86"/>
      <c r="D74" s="87"/>
      <c r="E74" s="88"/>
      <c r="F74" s="89"/>
      <c r="G74" s="89"/>
      <c r="H74" s="90"/>
      <c r="I74" s="91"/>
      <c r="J74" s="92"/>
      <c r="K74" s="93"/>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85"/>
      <c r="BA74" s="85"/>
      <c r="BB74" s="85"/>
      <c r="BC74" s="85"/>
      <c r="BD74" s="85"/>
      <c r="BE74" s="85"/>
      <c r="BF74" s="85"/>
      <c r="BG74" s="85"/>
      <c r="BH74" s="85"/>
      <c r="BI74" s="85"/>
      <c r="BJ74" s="85"/>
      <c r="BK74" s="85"/>
      <c r="BL74" s="85"/>
      <c r="BM74" s="85"/>
      <c r="BN74" s="85"/>
      <c r="BO74" s="85"/>
      <c r="BP74" s="85"/>
      <c r="BQ74" s="85"/>
      <c r="BR74" s="85"/>
      <c r="BS74" s="85"/>
      <c r="BT74" s="85"/>
      <c r="BU74" s="85"/>
      <c r="BV74" s="85"/>
      <c r="BW74" s="85"/>
      <c r="BX74" s="85"/>
      <c r="BY74" s="85"/>
      <c r="BZ74" s="85"/>
      <c r="CA74" s="85"/>
      <c r="CB74" s="85"/>
      <c r="CC74" s="85"/>
      <c r="CH74" s="99"/>
    </row>
    <row r="75" spans="1:86" s="20" customFormat="1" ht="17.399999999999999" x14ac:dyDescent="0.25">
      <c r="A75" s="85"/>
      <c r="B75" s="85"/>
      <c r="C75" s="86"/>
      <c r="D75" s="87"/>
      <c r="E75" s="88"/>
      <c r="F75" s="89"/>
      <c r="G75" s="89"/>
      <c r="H75" s="90"/>
      <c r="I75" s="91"/>
      <c r="J75" s="92"/>
      <c r="K75" s="93"/>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85"/>
      <c r="BA75" s="85"/>
      <c r="BB75" s="85"/>
      <c r="BC75" s="85"/>
      <c r="BD75" s="85"/>
      <c r="BE75" s="85"/>
      <c r="BF75" s="85"/>
      <c r="BG75" s="85"/>
      <c r="BH75" s="85"/>
      <c r="BI75" s="85"/>
      <c r="BJ75" s="85"/>
      <c r="BK75" s="85"/>
      <c r="BL75" s="85"/>
      <c r="BM75" s="85"/>
      <c r="BN75" s="85"/>
      <c r="BO75" s="85"/>
      <c r="BP75" s="85"/>
      <c r="BQ75" s="85"/>
      <c r="BR75" s="85"/>
      <c r="BS75" s="85"/>
      <c r="BT75" s="85"/>
      <c r="BU75" s="85"/>
      <c r="BV75" s="85"/>
      <c r="BW75" s="85"/>
      <c r="BX75" s="85"/>
      <c r="BY75" s="85"/>
      <c r="BZ75" s="85"/>
      <c r="CA75" s="85"/>
      <c r="CB75" s="85"/>
      <c r="CC75" s="85"/>
      <c r="CH75" s="99"/>
    </row>
    <row r="76" spans="1:86" s="20" customFormat="1" ht="17.399999999999999" x14ac:dyDescent="0.25">
      <c r="A76" s="85"/>
      <c r="B76" s="85"/>
      <c r="C76" s="86"/>
      <c r="D76" s="87"/>
      <c r="E76" s="88"/>
      <c r="F76" s="89"/>
      <c r="G76" s="89"/>
      <c r="H76" s="90"/>
      <c r="I76" s="91"/>
      <c r="J76" s="92"/>
      <c r="K76" s="93"/>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85"/>
      <c r="BA76" s="85"/>
      <c r="BB76" s="85"/>
      <c r="BC76" s="85"/>
      <c r="BD76" s="85"/>
      <c r="BE76" s="85"/>
      <c r="BF76" s="85"/>
      <c r="BG76" s="85"/>
      <c r="BH76" s="85"/>
      <c r="BI76" s="85"/>
      <c r="BJ76" s="85"/>
      <c r="BK76" s="85"/>
      <c r="BL76" s="85"/>
      <c r="BM76" s="85"/>
      <c r="BN76" s="85"/>
      <c r="BO76" s="85"/>
      <c r="BP76" s="85"/>
      <c r="BQ76" s="85"/>
      <c r="BR76" s="85"/>
      <c r="BS76" s="85"/>
      <c r="BT76" s="85"/>
      <c r="BU76" s="85"/>
      <c r="BV76" s="85"/>
      <c r="BW76" s="85"/>
      <c r="BX76" s="85"/>
      <c r="BY76" s="85"/>
      <c r="BZ76" s="85"/>
      <c r="CA76" s="85"/>
      <c r="CB76" s="85"/>
      <c r="CC76" s="85"/>
      <c r="CH76" s="99"/>
    </row>
    <row r="77" spans="1:86" s="20" customFormat="1" ht="17.399999999999999" x14ac:dyDescent="0.25">
      <c r="A77" s="85"/>
      <c r="B77" s="85"/>
      <c r="C77" s="86"/>
      <c r="D77" s="87"/>
      <c r="E77" s="88"/>
      <c r="F77" s="89"/>
      <c r="G77" s="89"/>
      <c r="H77" s="90"/>
      <c r="I77" s="91"/>
      <c r="J77" s="92"/>
      <c r="K77" s="93"/>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85"/>
      <c r="BA77" s="85"/>
      <c r="BB77" s="85"/>
      <c r="BC77" s="85"/>
      <c r="BD77" s="85"/>
      <c r="BE77" s="85"/>
      <c r="BF77" s="85"/>
      <c r="BG77" s="85"/>
      <c r="BH77" s="85"/>
      <c r="BI77" s="85"/>
      <c r="BJ77" s="85"/>
      <c r="BK77" s="85"/>
      <c r="BL77" s="85"/>
      <c r="BM77" s="85"/>
      <c r="BN77" s="85"/>
      <c r="BO77" s="85"/>
      <c r="BP77" s="85"/>
      <c r="BQ77" s="85"/>
      <c r="BR77" s="85"/>
      <c r="BS77" s="85"/>
      <c r="BT77" s="85"/>
      <c r="BU77" s="85"/>
      <c r="BV77" s="85"/>
      <c r="BW77" s="85"/>
      <c r="BX77" s="85"/>
      <c r="BY77" s="85"/>
      <c r="BZ77" s="85"/>
      <c r="CA77" s="85"/>
      <c r="CB77" s="85"/>
      <c r="CC77" s="85"/>
      <c r="CH77" s="99"/>
    </row>
    <row r="78" spans="1:86" s="20" customFormat="1" ht="17.399999999999999" x14ac:dyDescent="0.25">
      <c r="A78" s="85"/>
      <c r="B78" s="85"/>
      <c r="C78" s="86"/>
      <c r="D78" s="87"/>
      <c r="E78" s="88"/>
      <c r="F78" s="89"/>
      <c r="G78" s="89"/>
      <c r="H78" s="90"/>
      <c r="I78" s="91"/>
      <c r="J78" s="92"/>
      <c r="K78" s="93"/>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85"/>
      <c r="BA78" s="85"/>
      <c r="BB78" s="85"/>
      <c r="BC78" s="85"/>
      <c r="BD78" s="85"/>
      <c r="BE78" s="85"/>
      <c r="BF78" s="85"/>
      <c r="BG78" s="85"/>
      <c r="BH78" s="85"/>
      <c r="BI78" s="85"/>
      <c r="BJ78" s="85"/>
      <c r="BK78" s="85"/>
      <c r="BL78" s="85"/>
      <c r="BM78" s="85"/>
      <c r="BN78" s="85"/>
      <c r="BO78" s="85"/>
      <c r="BP78" s="85"/>
      <c r="BQ78" s="85"/>
      <c r="BR78" s="85"/>
      <c r="BS78" s="85"/>
      <c r="BT78" s="85"/>
      <c r="BU78" s="85"/>
      <c r="BV78" s="85"/>
      <c r="BW78" s="85"/>
      <c r="BX78" s="85"/>
      <c r="BY78" s="85"/>
      <c r="BZ78" s="85"/>
      <c r="CA78" s="85"/>
      <c r="CB78" s="85"/>
      <c r="CC78" s="85"/>
      <c r="CH78" s="99"/>
    </row>
    <row r="79" spans="1:86" s="20" customFormat="1" ht="17.399999999999999" x14ac:dyDescent="0.25">
      <c r="A79" s="85"/>
      <c r="B79" s="85"/>
      <c r="C79" s="86"/>
      <c r="D79" s="87"/>
      <c r="E79" s="88"/>
      <c r="F79" s="89"/>
      <c r="G79" s="89"/>
      <c r="H79" s="90"/>
      <c r="I79" s="91"/>
      <c r="J79" s="92"/>
      <c r="K79" s="93"/>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85"/>
      <c r="BA79" s="85"/>
      <c r="BB79" s="85"/>
      <c r="BC79" s="85"/>
      <c r="BD79" s="85"/>
      <c r="BE79" s="85"/>
      <c r="BF79" s="85"/>
      <c r="BG79" s="85"/>
      <c r="BH79" s="85"/>
      <c r="BI79" s="85"/>
      <c r="BJ79" s="85"/>
      <c r="BK79" s="85"/>
      <c r="BL79" s="85"/>
      <c r="BM79" s="85"/>
      <c r="BN79" s="85"/>
      <c r="BO79" s="85"/>
      <c r="BP79" s="85"/>
      <c r="BQ79" s="85"/>
      <c r="BR79" s="85"/>
      <c r="BS79" s="85"/>
      <c r="BT79" s="85"/>
      <c r="BU79" s="85"/>
      <c r="BV79" s="85"/>
      <c r="BW79" s="85"/>
      <c r="BX79" s="85"/>
      <c r="BY79" s="85"/>
      <c r="BZ79" s="85"/>
      <c r="CA79" s="85"/>
      <c r="CB79" s="85"/>
      <c r="CC79" s="85"/>
      <c r="CH79" s="99"/>
    </row>
    <row r="80" spans="1:86" s="20" customFormat="1" ht="17.399999999999999" x14ac:dyDescent="0.25">
      <c r="A80" s="85"/>
      <c r="B80" s="85"/>
      <c r="C80" s="86"/>
      <c r="D80" s="87"/>
      <c r="E80" s="88"/>
      <c r="F80" s="89"/>
      <c r="G80" s="89"/>
      <c r="H80" s="90"/>
      <c r="I80" s="91"/>
      <c r="J80" s="92"/>
      <c r="K80" s="93"/>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85"/>
      <c r="BA80" s="85"/>
      <c r="BB80" s="85"/>
      <c r="BC80" s="85"/>
      <c r="BD80" s="85"/>
      <c r="BE80" s="85"/>
      <c r="BF80" s="85"/>
      <c r="BG80" s="85"/>
      <c r="BH80" s="85"/>
      <c r="BI80" s="85"/>
      <c r="BJ80" s="85"/>
      <c r="BK80" s="85"/>
      <c r="BL80" s="85"/>
      <c r="BM80" s="85"/>
      <c r="BN80" s="85"/>
      <c r="BO80" s="85"/>
      <c r="BP80" s="85"/>
      <c r="BQ80" s="85"/>
      <c r="BR80" s="85"/>
      <c r="BS80" s="85"/>
      <c r="BT80" s="85"/>
      <c r="BU80" s="85"/>
      <c r="BV80" s="85"/>
      <c r="BW80" s="85"/>
      <c r="BX80" s="85"/>
      <c r="BY80" s="85"/>
      <c r="BZ80" s="85"/>
      <c r="CA80" s="85"/>
      <c r="CB80" s="85"/>
      <c r="CC80" s="85"/>
      <c r="CH80" s="99"/>
    </row>
    <row r="81" spans="1:86" s="20" customFormat="1" ht="17.399999999999999" x14ac:dyDescent="0.25">
      <c r="A81" s="85"/>
      <c r="B81" s="85"/>
      <c r="C81" s="86"/>
      <c r="D81" s="87"/>
      <c r="E81" s="88"/>
      <c r="F81" s="89"/>
      <c r="G81" s="89"/>
      <c r="H81" s="90"/>
      <c r="I81" s="91"/>
      <c r="J81" s="92"/>
      <c r="K81" s="93"/>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5"/>
      <c r="AK81" s="85"/>
      <c r="AL81" s="85"/>
      <c r="AM81" s="85"/>
      <c r="AN81" s="85"/>
      <c r="AO81" s="85"/>
      <c r="AP81" s="85"/>
      <c r="AQ81" s="85"/>
      <c r="AR81" s="85"/>
      <c r="AS81" s="85"/>
      <c r="AT81" s="85"/>
      <c r="AU81" s="85"/>
      <c r="AV81" s="85"/>
      <c r="AW81" s="85"/>
      <c r="AX81" s="85"/>
      <c r="AY81" s="85"/>
      <c r="AZ81" s="85"/>
      <c r="BA81" s="85"/>
      <c r="BB81" s="85"/>
      <c r="BC81" s="85"/>
      <c r="BD81" s="85"/>
      <c r="BE81" s="85"/>
      <c r="BF81" s="85"/>
      <c r="BG81" s="85"/>
      <c r="BH81" s="85"/>
      <c r="BI81" s="85"/>
      <c r="BJ81" s="85"/>
      <c r="BK81" s="85"/>
      <c r="BL81" s="85"/>
      <c r="BM81" s="85"/>
      <c r="BN81" s="85"/>
      <c r="BO81" s="85"/>
      <c r="BP81" s="85"/>
      <c r="BQ81" s="85"/>
      <c r="BR81" s="85"/>
      <c r="BS81" s="85"/>
      <c r="BT81" s="85"/>
      <c r="BU81" s="85"/>
      <c r="BV81" s="85"/>
      <c r="BW81" s="85"/>
      <c r="BX81" s="85"/>
      <c r="BY81" s="85"/>
      <c r="BZ81" s="85"/>
      <c r="CA81" s="85"/>
      <c r="CB81" s="85"/>
      <c r="CC81" s="85"/>
      <c r="CH81" s="99"/>
    </row>
    <row r="82" spans="1:86" s="20" customFormat="1" ht="17.399999999999999" x14ac:dyDescent="0.25">
      <c r="A82" s="85"/>
      <c r="B82" s="85"/>
      <c r="C82" s="86"/>
      <c r="D82" s="87"/>
      <c r="E82" s="88"/>
      <c r="F82" s="89"/>
      <c r="G82" s="89"/>
      <c r="H82" s="90"/>
      <c r="I82" s="91"/>
      <c r="J82" s="92"/>
      <c r="K82" s="93"/>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5"/>
      <c r="AK82" s="85"/>
      <c r="AL82" s="85"/>
      <c r="AM82" s="85"/>
      <c r="AN82" s="85"/>
      <c r="AO82" s="85"/>
      <c r="AP82" s="85"/>
      <c r="AQ82" s="85"/>
      <c r="AR82" s="85"/>
      <c r="AS82" s="85"/>
      <c r="AT82" s="85"/>
      <c r="AU82" s="85"/>
      <c r="AV82" s="85"/>
      <c r="AW82" s="85"/>
      <c r="AX82" s="85"/>
      <c r="AY82" s="85"/>
      <c r="AZ82" s="85"/>
      <c r="BA82" s="85"/>
      <c r="BB82" s="85"/>
      <c r="BC82" s="85"/>
      <c r="BD82" s="85"/>
      <c r="BE82" s="85"/>
      <c r="BF82" s="85"/>
      <c r="BG82" s="85"/>
      <c r="BH82" s="85"/>
      <c r="BI82" s="85"/>
      <c r="BJ82" s="85"/>
      <c r="BK82" s="85"/>
      <c r="BL82" s="85"/>
      <c r="BM82" s="85"/>
      <c r="BN82" s="85"/>
      <c r="BO82" s="85"/>
      <c r="BP82" s="85"/>
      <c r="BQ82" s="85"/>
      <c r="BR82" s="85"/>
      <c r="BS82" s="85"/>
      <c r="BT82" s="85"/>
      <c r="BU82" s="85"/>
      <c r="BV82" s="85"/>
      <c r="BW82" s="85"/>
      <c r="BX82" s="85"/>
      <c r="BY82" s="85"/>
      <c r="BZ82" s="85"/>
      <c r="CA82" s="85"/>
      <c r="CB82" s="85"/>
      <c r="CC82" s="85"/>
      <c r="CH82" s="99"/>
    </row>
    <row r="83" spans="1:86" s="20" customFormat="1" ht="17.399999999999999" x14ac:dyDescent="0.25">
      <c r="A83" s="85"/>
      <c r="B83" s="85"/>
      <c r="C83" s="86"/>
      <c r="D83" s="87"/>
      <c r="E83" s="88"/>
      <c r="F83" s="89"/>
      <c r="G83" s="89"/>
      <c r="H83" s="90"/>
      <c r="I83" s="91"/>
      <c r="J83" s="92"/>
      <c r="K83" s="93"/>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5"/>
      <c r="AK83" s="85"/>
      <c r="AL83" s="85"/>
      <c r="AM83" s="85"/>
      <c r="AN83" s="85"/>
      <c r="AO83" s="85"/>
      <c r="AP83" s="85"/>
      <c r="AQ83" s="85"/>
      <c r="AR83" s="85"/>
      <c r="AS83" s="85"/>
      <c r="AT83" s="85"/>
      <c r="AU83" s="85"/>
      <c r="AV83" s="85"/>
      <c r="AW83" s="85"/>
      <c r="AX83" s="85"/>
      <c r="AY83" s="85"/>
      <c r="AZ83" s="85"/>
      <c r="BA83" s="85"/>
      <c r="BB83" s="85"/>
      <c r="BC83" s="85"/>
      <c r="BD83" s="85"/>
      <c r="BE83" s="85"/>
      <c r="BF83" s="85"/>
      <c r="BG83" s="85"/>
      <c r="BH83" s="85"/>
      <c r="BI83" s="85"/>
      <c r="BJ83" s="85"/>
      <c r="BK83" s="85"/>
      <c r="BL83" s="85"/>
      <c r="BM83" s="85"/>
      <c r="BN83" s="85"/>
      <c r="BO83" s="85"/>
      <c r="BP83" s="85"/>
      <c r="BQ83" s="85"/>
      <c r="BR83" s="85"/>
      <c r="BS83" s="85"/>
      <c r="BT83" s="85"/>
      <c r="BU83" s="85"/>
      <c r="BV83" s="85"/>
      <c r="BW83" s="85"/>
      <c r="BX83" s="85"/>
      <c r="BY83" s="85"/>
      <c r="BZ83" s="85"/>
      <c r="CA83" s="85"/>
      <c r="CB83" s="85"/>
      <c r="CC83" s="85"/>
      <c r="CH83" s="99"/>
    </row>
    <row r="84" spans="1:86" s="20" customFormat="1" ht="17.399999999999999" x14ac:dyDescent="0.25">
      <c r="A84" s="85"/>
      <c r="B84" s="85"/>
      <c r="C84" s="86"/>
      <c r="D84" s="87"/>
      <c r="E84" s="88"/>
      <c r="F84" s="89"/>
      <c r="G84" s="89"/>
      <c r="H84" s="90"/>
      <c r="I84" s="91"/>
      <c r="J84" s="92"/>
      <c r="K84" s="93"/>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5"/>
      <c r="AK84" s="85"/>
      <c r="AL84" s="85"/>
      <c r="AM84" s="85"/>
      <c r="AN84" s="85"/>
      <c r="AO84" s="85"/>
      <c r="AP84" s="85"/>
      <c r="AQ84" s="85"/>
      <c r="AR84" s="85"/>
      <c r="AS84" s="85"/>
      <c r="AT84" s="85"/>
      <c r="AU84" s="85"/>
      <c r="AV84" s="85"/>
      <c r="AW84" s="85"/>
      <c r="AX84" s="85"/>
      <c r="AY84" s="85"/>
      <c r="AZ84" s="85"/>
      <c r="BA84" s="85"/>
      <c r="BB84" s="85"/>
      <c r="BC84" s="85"/>
      <c r="BD84" s="85"/>
      <c r="BE84" s="85"/>
      <c r="BF84" s="85"/>
      <c r="BG84" s="85"/>
      <c r="BH84" s="85"/>
      <c r="BI84" s="85"/>
      <c r="BJ84" s="85"/>
      <c r="BK84" s="85"/>
      <c r="BL84" s="85"/>
      <c r="BM84" s="85"/>
      <c r="BN84" s="85"/>
      <c r="BO84" s="85"/>
      <c r="BP84" s="85"/>
      <c r="BQ84" s="85"/>
      <c r="BR84" s="85"/>
      <c r="BS84" s="85"/>
      <c r="BT84" s="85"/>
      <c r="BU84" s="85"/>
      <c r="BV84" s="85"/>
      <c r="BW84" s="85"/>
      <c r="BX84" s="85"/>
      <c r="BY84" s="85"/>
      <c r="BZ84" s="85"/>
      <c r="CA84" s="85"/>
      <c r="CB84" s="85"/>
      <c r="CC84" s="85"/>
      <c r="CH84" s="99"/>
    </row>
    <row r="85" spans="1:86" s="20" customFormat="1" ht="17.399999999999999" x14ac:dyDescent="0.25">
      <c r="A85" s="85"/>
      <c r="B85" s="85"/>
      <c r="C85" s="86"/>
      <c r="D85" s="87"/>
      <c r="E85" s="88"/>
      <c r="F85" s="89"/>
      <c r="G85" s="89"/>
      <c r="H85" s="90"/>
      <c r="I85" s="91"/>
      <c r="J85" s="92"/>
      <c r="K85" s="93"/>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5"/>
      <c r="AK85" s="85"/>
      <c r="AL85" s="85"/>
      <c r="AM85" s="85"/>
      <c r="AN85" s="85"/>
      <c r="AO85" s="85"/>
      <c r="AP85" s="85"/>
      <c r="AQ85" s="85"/>
      <c r="AR85" s="85"/>
      <c r="AS85" s="85"/>
      <c r="AT85" s="85"/>
      <c r="AU85" s="85"/>
      <c r="AV85" s="85"/>
      <c r="AW85" s="85"/>
      <c r="AX85" s="85"/>
      <c r="AY85" s="85"/>
      <c r="AZ85" s="85"/>
      <c r="BA85" s="85"/>
      <c r="BB85" s="85"/>
      <c r="BC85" s="85"/>
      <c r="BD85" s="85"/>
      <c r="BE85" s="85"/>
      <c r="BF85" s="85"/>
      <c r="BG85" s="85"/>
      <c r="BH85" s="85"/>
      <c r="BI85" s="85"/>
      <c r="BJ85" s="85"/>
      <c r="BK85" s="85"/>
      <c r="BL85" s="85"/>
      <c r="BM85" s="85"/>
      <c r="BN85" s="85"/>
      <c r="BO85" s="85"/>
      <c r="BP85" s="85"/>
      <c r="BQ85" s="85"/>
      <c r="BR85" s="85"/>
      <c r="BS85" s="85"/>
      <c r="BT85" s="85"/>
      <c r="BU85" s="85"/>
      <c r="BV85" s="85"/>
      <c r="BW85" s="85"/>
      <c r="BX85" s="85"/>
      <c r="BY85" s="85"/>
      <c r="BZ85" s="85"/>
      <c r="CA85" s="85"/>
      <c r="CB85" s="85"/>
      <c r="CC85" s="85"/>
      <c r="CH85" s="99"/>
    </row>
    <row r="86" spans="1:86" s="20" customFormat="1" ht="17.399999999999999" x14ac:dyDescent="0.25">
      <c r="A86" s="85"/>
      <c r="B86" s="85"/>
      <c r="C86" s="86"/>
      <c r="D86" s="87"/>
      <c r="E86" s="88"/>
      <c r="F86" s="89"/>
      <c r="G86" s="89"/>
      <c r="H86" s="90"/>
      <c r="I86" s="91"/>
      <c r="J86" s="92"/>
      <c r="K86" s="93"/>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5"/>
      <c r="AK86" s="85"/>
      <c r="AL86" s="85"/>
      <c r="AM86" s="85"/>
      <c r="AN86" s="85"/>
      <c r="AO86" s="85"/>
      <c r="AP86" s="85"/>
      <c r="AQ86" s="85"/>
      <c r="AR86" s="85"/>
      <c r="AS86" s="85"/>
      <c r="AT86" s="85"/>
      <c r="AU86" s="85"/>
      <c r="AV86" s="85"/>
      <c r="AW86" s="85"/>
      <c r="AX86" s="85"/>
      <c r="AY86" s="85"/>
      <c r="AZ86" s="85"/>
      <c r="BA86" s="85"/>
      <c r="BB86" s="85"/>
      <c r="BC86" s="85"/>
      <c r="BD86" s="85"/>
      <c r="BE86" s="85"/>
      <c r="BF86" s="85"/>
      <c r="BG86" s="85"/>
      <c r="BH86" s="85"/>
      <c r="BI86" s="85"/>
      <c r="BJ86" s="85"/>
      <c r="BK86" s="85"/>
      <c r="BL86" s="85"/>
      <c r="BM86" s="85"/>
      <c r="BN86" s="85"/>
      <c r="BO86" s="85"/>
      <c r="BP86" s="85"/>
      <c r="BQ86" s="85"/>
      <c r="BR86" s="85"/>
      <c r="BS86" s="85"/>
      <c r="BT86" s="85"/>
      <c r="BU86" s="85"/>
      <c r="BV86" s="85"/>
      <c r="BW86" s="85"/>
      <c r="BX86" s="85"/>
      <c r="BY86" s="85"/>
      <c r="BZ86" s="85"/>
      <c r="CA86" s="85"/>
      <c r="CB86" s="85"/>
      <c r="CC86" s="85"/>
      <c r="CH86" s="99"/>
    </row>
    <row r="87" spans="1:86" s="20" customFormat="1" ht="17.399999999999999" x14ac:dyDescent="0.25">
      <c r="A87" s="85"/>
      <c r="B87" s="85"/>
      <c r="C87" s="86"/>
      <c r="D87" s="87"/>
      <c r="E87" s="88"/>
      <c r="F87" s="89"/>
      <c r="G87" s="89"/>
      <c r="H87" s="90"/>
      <c r="I87" s="91"/>
      <c r="J87" s="92"/>
      <c r="K87" s="93"/>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5"/>
      <c r="AK87" s="85"/>
      <c r="AL87" s="85"/>
      <c r="AM87" s="85"/>
      <c r="AN87" s="85"/>
      <c r="AO87" s="85"/>
      <c r="AP87" s="85"/>
      <c r="AQ87" s="85"/>
      <c r="AR87" s="85"/>
      <c r="AS87" s="85"/>
      <c r="AT87" s="85"/>
      <c r="AU87" s="85"/>
      <c r="AV87" s="85"/>
      <c r="AW87" s="85"/>
      <c r="AX87" s="85"/>
      <c r="AY87" s="85"/>
      <c r="AZ87" s="85"/>
      <c r="BA87" s="85"/>
      <c r="BB87" s="85"/>
      <c r="BC87" s="85"/>
      <c r="BD87" s="85"/>
      <c r="BE87" s="85"/>
      <c r="BF87" s="85"/>
      <c r="BG87" s="85"/>
      <c r="BH87" s="85"/>
      <c r="BI87" s="85"/>
      <c r="BJ87" s="85"/>
      <c r="BK87" s="85"/>
      <c r="BL87" s="85"/>
      <c r="BM87" s="85"/>
      <c r="BN87" s="85"/>
      <c r="BO87" s="85"/>
      <c r="BP87" s="85"/>
      <c r="BQ87" s="85"/>
      <c r="BR87" s="85"/>
      <c r="BS87" s="85"/>
      <c r="BT87" s="85"/>
      <c r="BU87" s="85"/>
      <c r="BV87" s="85"/>
      <c r="BW87" s="85"/>
      <c r="BX87" s="85"/>
      <c r="BY87" s="85"/>
      <c r="BZ87" s="85"/>
      <c r="CA87" s="85"/>
      <c r="CB87" s="85"/>
      <c r="CC87" s="85"/>
      <c r="CH87" s="99"/>
    </row>
    <row r="88" spans="1:86" s="20" customFormat="1" ht="17.399999999999999" x14ac:dyDescent="0.25">
      <c r="A88" s="85"/>
      <c r="B88" s="85"/>
      <c r="C88" s="86"/>
      <c r="D88" s="87"/>
      <c r="E88" s="88"/>
      <c r="F88" s="89"/>
      <c r="G88" s="89"/>
      <c r="H88" s="90"/>
      <c r="I88" s="91"/>
      <c r="J88" s="92"/>
      <c r="K88" s="93"/>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5"/>
      <c r="AK88" s="85"/>
      <c r="AL88" s="85"/>
      <c r="AM88" s="85"/>
      <c r="AN88" s="85"/>
      <c r="AO88" s="85"/>
      <c r="AP88" s="85"/>
      <c r="AQ88" s="85"/>
      <c r="AR88" s="85"/>
      <c r="AS88" s="85"/>
      <c r="AT88" s="85"/>
      <c r="AU88" s="85"/>
      <c r="AV88" s="85"/>
      <c r="AW88" s="85"/>
      <c r="AX88" s="85"/>
      <c r="AY88" s="85"/>
      <c r="AZ88" s="85"/>
      <c r="BA88" s="85"/>
      <c r="BB88" s="85"/>
      <c r="BC88" s="85"/>
      <c r="BD88" s="85"/>
      <c r="BE88" s="85"/>
      <c r="BF88" s="85"/>
      <c r="BG88" s="85"/>
      <c r="BH88" s="85"/>
      <c r="BI88" s="85"/>
      <c r="BJ88" s="85"/>
      <c r="BK88" s="85"/>
      <c r="BL88" s="85"/>
      <c r="BM88" s="85"/>
      <c r="BN88" s="85"/>
      <c r="BO88" s="85"/>
      <c r="BP88" s="85"/>
      <c r="BQ88" s="85"/>
      <c r="BR88" s="85"/>
      <c r="BS88" s="85"/>
      <c r="BT88" s="85"/>
      <c r="BU88" s="85"/>
      <c r="BV88" s="85"/>
      <c r="BW88" s="85"/>
      <c r="BX88" s="85"/>
      <c r="BY88" s="85"/>
      <c r="BZ88" s="85"/>
      <c r="CA88" s="85"/>
      <c r="CB88" s="85"/>
      <c r="CC88" s="85"/>
      <c r="CH88" s="99"/>
    </row>
    <row r="89" spans="1:86" s="20" customFormat="1" ht="17.399999999999999" x14ac:dyDescent="0.25">
      <c r="A89" s="85"/>
      <c r="B89" s="85"/>
      <c r="C89" s="86"/>
      <c r="D89" s="87"/>
      <c r="E89" s="88"/>
      <c r="F89" s="89"/>
      <c r="G89" s="89"/>
      <c r="H89" s="90"/>
      <c r="I89" s="91"/>
      <c r="J89" s="92"/>
      <c r="K89" s="93"/>
      <c r="L89" s="85"/>
      <c r="M89" s="85"/>
      <c r="N89" s="85"/>
      <c r="O89" s="85"/>
      <c r="P89" s="85"/>
      <c r="Q89" s="85"/>
      <c r="R89" s="85"/>
      <c r="S89" s="85"/>
      <c r="T89" s="85"/>
      <c r="U89" s="85"/>
      <c r="V89" s="85"/>
      <c r="W89" s="85"/>
      <c r="X89" s="85"/>
      <c r="Y89" s="85"/>
      <c r="Z89" s="85"/>
      <c r="AA89" s="85"/>
      <c r="AB89" s="85"/>
      <c r="AC89" s="85"/>
      <c r="AD89" s="85"/>
      <c r="AE89" s="85"/>
      <c r="AF89" s="85"/>
      <c r="AG89" s="85"/>
      <c r="AH89" s="85"/>
      <c r="AI89" s="85"/>
      <c r="AJ89" s="85"/>
      <c r="AK89" s="85"/>
      <c r="AL89" s="85"/>
      <c r="AM89" s="85"/>
      <c r="AN89" s="85"/>
      <c r="AO89" s="85"/>
      <c r="AP89" s="85"/>
      <c r="AQ89" s="85"/>
      <c r="AR89" s="85"/>
      <c r="AS89" s="85"/>
      <c r="AT89" s="85"/>
      <c r="AU89" s="85"/>
      <c r="AV89" s="85"/>
      <c r="AW89" s="85"/>
      <c r="AX89" s="85"/>
      <c r="AY89" s="85"/>
      <c r="AZ89" s="85"/>
      <c r="BA89" s="85"/>
      <c r="BB89" s="85"/>
      <c r="BC89" s="85"/>
      <c r="BD89" s="85"/>
      <c r="BE89" s="85"/>
      <c r="BF89" s="85"/>
      <c r="BG89" s="85"/>
      <c r="BH89" s="85"/>
      <c r="BI89" s="85"/>
      <c r="BJ89" s="85"/>
      <c r="BK89" s="85"/>
      <c r="BL89" s="85"/>
      <c r="BM89" s="85"/>
      <c r="BN89" s="85"/>
      <c r="BO89" s="85"/>
      <c r="BP89" s="85"/>
      <c r="BQ89" s="85"/>
      <c r="BR89" s="85"/>
      <c r="BS89" s="85"/>
      <c r="BT89" s="85"/>
      <c r="BU89" s="85"/>
      <c r="BV89" s="85"/>
      <c r="BW89" s="85"/>
      <c r="BX89" s="85"/>
      <c r="BY89" s="85"/>
      <c r="BZ89" s="85"/>
      <c r="CA89" s="85"/>
      <c r="CB89" s="85"/>
      <c r="CC89" s="85"/>
      <c r="CH89" s="99"/>
    </row>
    <row r="90" spans="1:86" s="20" customFormat="1" ht="17.399999999999999" x14ac:dyDescent="0.25">
      <c r="A90" s="85"/>
      <c r="B90" s="85"/>
      <c r="C90" s="86"/>
      <c r="D90" s="87"/>
      <c r="E90" s="88"/>
      <c r="F90" s="89"/>
      <c r="G90" s="89"/>
      <c r="H90" s="90"/>
      <c r="I90" s="91"/>
      <c r="J90" s="92"/>
      <c r="K90" s="93"/>
      <c r="L90" s="85"/>
      <c r="M90" s="85"/>
      <c r="N90" s="85"/>
      <c r="O90" s="85"/>
      <c r="P90" s="85"/>
      <c r="Q90" s="85"/>
      <c r="R90" s="85"/>
      <c r="S90" s="85"/>
      <c r="T90" s="85"/>
      <c r="U90" s="85"/>
      <c r="V90" s="85"/>
      <c r="W90" s="85"/>
      <c r="X90" s="85"/>
      <c r="Y90" s="85"/>
      <c r="Z90" s="85"/>
      <c r="AA90" s="85"/>
      <c r="AB90" s="85"/>
      <c r="AC90" s="85"/>
      <c r="AD90" s="85"/>
      <c r="AE90" s="85"/>
      <c r="AF90" s="85"/>
      <c r="AG90" s="85"/>
      <c r="AH90" s="85"/>
      <c r="AI90" s="85"/>
      <c r="AJ90" s="85"/>
      <c r="AK90" s="85"/>
      <c r="AL90" s="85"/>
      <c r="AM90" s="85"/>
      <c r="AN90" s="85"/>
      <c r="AO90" s="85"/>
      <c r="AP90" s="85"/>
      <c r="AQ90" s="85"/>
      <c r="AR90" s="85"/>
      <c r="AS90" s="85"/>
      <c r="AT90" s="85"/>
      <c r="AU90" s="85"/>
      <c r="AV90" s="85"/>
      <c r="AW90" s="85"/>
      <c r="AX90" s="85"/>
      <c r="AY90" s="85"/>
      <c r="AZ90" s="85"/>
      <c r="BA90" s="85"/>
      <c r="BB90" s="85"/>
      <c r="BC90" s="85"/>
      <c r="BD90" s="85"/>
      <c r="BE90" s="85"/>
      <c r="BF90" s="85"/>
      <c r="BG90" s="85"/>
      <c r="BH90" s="85"/>
      <c r="BI90" s="85"/>
      <c r="BJ90" s="85"/>
      <c r="BK90" s="85"/>
      <c r="BL90" s="85"/>
      <c r="BM90" s="85"/>
      <c r="BN90" s="85"/>
      <c r="BO90" s="85"/>
      <c r="BP90" s="85"/>
      <c r="BQ90" s="85"/>
      <c r="BR90" s="85"/>
      <c r="BS90" s="85"/>
      <c r="BT90" s="85"/>
      <c r="BU90" s="85"/>
      <c r="BV90" s="85"/>
      <c r="BW90" s="85"/>
      <c r="BX90" s="85"/>
      <c r="BY90" s="85"/>
      <c r="BZ90" s="85"/>
      <c r="CA90" s="85"/>
      <c r="CB90" s="85"/>
      <c r="CC90" s="85"/>
      <c r="CH90" s="99"/>
    </row>
    <row r="91" spans="1:86" s="20" customFormat="1" ht="17.399999999999999" x14ac:dyDescent="0.25">
      <c r="A91" s="10"/>
      <c r="B91" s="10"/>
      <c r="C91" s="79"/>
      <c r="D91" s="15"/>
      <c r="E91" s="16"/>
      <c r="F91" s="47"/>
      <c r="G91" s="47"/>
      <c r="H91" s="17"/>
      <c r="I91" s="18"/>
      <c r="J91" s="19" t="str">
        <f t="shared" si="19"/>
        <v xml:space="preserve"> - </v>
      </c>
      <c r="K91" s="42"/>
      <c r="L91" s="10"/>
      <c r="M91" s="10"/>
      <c r="N91" s="10"/>
      <c r="O91" s="10"/>
      <c r="P91" s="10"/>
      <c r="Q91" s="10"/>
      <c r="R91" s="10"/>
      <c r="S91" s="10"/>
      <c r="T91" s="10"/>
      <c r="U91" s="10"/>
      <c r="V91" s="10"/>
      <c r="W91" s="10"/>
      <c r="X91" s="10"/>
      <c r="Y91" s="10"/>
      <c r="Z91" s="10"/>
      <c r="AA91" s="10"/>
      <c r="AB91" s="10"/>
      <c r="AC91" s="10"/>
      <c r="AD91" s="10"/>
      <c r="AE91" s="10"/>
      <c r="AF91" s="10"/>
      <c r="AG91" s="10"/>
      <c r="AH91" s="10"/>
      <c r="AI91" s="10"/>
      <c r="AJ91" s="10"/>
      <c r="AK91" s="10"/>
      <c r="AL91" s="10"/>
      <c r="AM91" s="10"/>
      <c r="AN91" s="10"/>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c r="CA91" s="10"/>
      <c r="CB91" s="10"/>
      <c r="CC91" s="10"/>
      <c r="CH91" s="99"/>
    </row>
    <row r="92" spans="1:86" s="24" customFormat="1" ht="17.399999999999999" x14ac:dyDescent="0.25">
      <c r="A92" s="21" t="s">
        <v>2</v>
      </c>
      <c r="B92" s="106"/>
      <c r="C92" s="80"/>
      <c r="D92" s="22"/>
      <c r="E92" s="22"/>
      <c r="F92" s="48"/>
      <c r="G92" s="48"/>
      <c r="H92" s="23"/>
      <c r="I92" s="23"/>
      <c r="J92" s="23"/>
      <c r="K92" s="43"/>
      <c r="L92" s="10"/>
      <c r="M92" s="10"/>
      <c r="N92" s="10"/>
      <c r="O92" s="10"/>
      <c r="P92" s="10"/>
      <c r="Q92" s="10"/>
      <c r="R92" s="10"/>
      <c r="S92" s="10"/>
      <c r="T92" s="10"/>
      <c r="U92" s="10"/>
      <c r="V92" s="10"/>
      <c r="W92" s="10"/>
      <c r="X92" s="10"/>
      <c r="Y92" s="10"/>
      <c r="Z92" s="10"/>
      <c r="AA92" s="10"/>
      <c r="AB92" s="10"/>
      <c r="AC92" s="10"/>
      <c r="AD92" s="10"/>
      <c r="AE92" s="10"/>
      <c r="AF92" s="10"/>
      <c r="AG92" s="10"/>
      <c r="AH92" s="10"/>
      <c r="AI92" s="10"/>
      <c r="AJ92" s="10"/>
      <c r="AK92" s="10"/>
      <c r="AL92" s="10"/>
      <c r="AM92" s="10"/>
      <c r="AN92" s="10"/>
      <c r="AO92" s="10"/>
      <c r="AP92" s="10"/>
      <c r="AQ92" s="10"/>
      <c r="AR92" s="10"/>
      <c r="AS92" s="10"/>
      <c r="AT92" s="10"/>
      <c r="AU92" s="10"/>
      <c r="AV92" s="10"/>
      <c r="AW92" s="10"/>
      <c r="AX92" s="10"/>
      <c r="AY92" s="10"/>
      <c r="AZ92" s="10"/>
      <c r="BA92" s="10"/>
      <c r="BB92" s="10"/>
      <c r="BC92" s="10"/>
      <c r="BD92" s="10"/>
      <c r="BE92" s="10"/>
      <c r="BF92" s="10"/>
      <c r="BG92" s="10"/>
      <c r="BH92" s="10"/>
      <c r="BI92" s="10"/>
      <c r="BJ92" s="10"/>
      <c r="BK92" s="10"/>
      <c r="BL92" s="10"/>
      <c r="BM92" s="10"/>
      <c r="BN92" s="10"/>
      <c r="BO92" s="10"/>
      <c r="BP92" s="10"/>
      <c r="BQ92" s="10"/>
      <c r="BR92" s="10"/>
      <c r="BS92" s="10"/>
      <c r="BT92" s="10"/>
      <c r="BU92" s="10"/>
      <c r="BV92" s="10"/>
      <c r="BW92" s="10"/>
      <c r="BX92" s="10"/>
      <c r="BY92" s="10"/>
      <c r="BZ92" s="10"/>
      <c r="CA92" s="10"/>
      <c r="CB92" s="10"/>
      <c r="CC92" s="10"/>
      <c r="CH92" s="100"/>
    </row>
    <row r="93" spans="1:86" s="20" customFormat="1" ht="17.399999999999999" x14ac:dyDescent="0.25">
      <c r="A93" s="25" t="s">
        <v>6</v>
      </c>
      <c r="B93" s="107"/>
      <c r="C93" s="81"/>
      <c r="D93" s="26"/>
      <c r="E93" s="26"/>
      <c r="F93" s="49"/>
      <c r="G93" s="49"/>
      <c r="H93" s="26"/>
      <c r="I93" s="26"/>
      <c r="J93" s="26"/>
      <c r="K93" s="43"/>
      <c r="L93" s="10"/>
      <c r="M93" s="10"/>
      <c r="N93" s="10"/>
      <c r="O93" s="10"/>
      <c r="P93" s="10"/>
      <c r="Q93" s="10"/>
      <c r="R93" s="10"/>
      <c r="S93" s="10"/>
      <c r="T93" s="10"/>
      <c r="U93" s="10"/>
      <c r="V93" s="10"/>
      <c r="W93" s="10"/>
      <c r="X93" s="10"/>
      <c r="Y93" s="10"/>
      <c r="Z93" s="10"/>
      <c r="AA93" s="10"/>
      <c r="AB93" s="10"/>
      <c r="AC93" s="10"/>
      <c r="AD93" s="10"/>
      <c r="AE93" s="10"/>
      <c r="AF93" s="10"/>
      <c r="AG93" s="10"/>
      <c r="AH93" s="10"/>
      <c r="AI93" s="10"/>
      <c r="AJ93" s="10"/>
      <c r="AK93" s="10"/>
      <c r="AL93" s="10"/>
      <c r="AM93" s="10"/>
      <c r="AN93" s="10"/>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c r="CA93" s="10"/>
      <c r="CB93" s="10"/>
      <c r="CC93" s="10"/>
      <c r="CH93" s="99"/>
    </row>
    <row r="94" spans="1:86" s="20" customFormat="1" ht="17.399999999999999" x14ac:dyDescent="0.25">
      <c r="A94" s="4" t="str">
        <f>IF(ISERROR(VALUE(SUBSTITUTE(prevWBS,".",""))),"1",IF(ISERROR(FIND("`",SUBSTITUTE(prevWBS,".","`",1))),TEXT(VALUE(prevWBS)+1,"#"),TEXT(VALUE(LEFT(prevWBS,FIND("`",SUBSTITUTE(prevWBS,".","`",1))-1))+1,"#")))</f>
        <v>1</v>
      </c>
      <c r="B94" s="108"/>
      <c r="C94" s="82" t="s">
        <v>21</v>
      </c>
      <c r="D94" s="27"/>
      <c r="E94" s="28"/>
      <c r="F94" s="44"/>
      <c r="G94" s="45" t="str">
        <f t="shared" ref="G94:G97" si="43">IF(ISBLANK(F94)," - ",IF(H94=0,F94,F94+H94-1))</f>
        <v xml:space="preserve"> - </v>
      </c>
      <c r="H94" s="12"/>
      <c r="I94" s="13"/>
      <c r="J94" s="14" t="str">
        <f>IF(OR(G94=0,F94=0)," - ",NETWORKDAYS(F94,G94))</f>
        <v xml:space="preserve"> - </v>
      </c>
      <c r="K94" s="40"/>
      <c r="L94" s="10"/>
      <c r="M94" s="10"/>
      <c r="N94" s="10"/>
      <c r="O94" s="10"/>
      <c r="P94" s="10"/>
      <c r="Q94" s="10"/>
      <c r="R94" s="10"/>
      <c r="S94" s="10"/>
      <c r="T94" s="10"/>
      <c r="U94" s="10"/>
      <c r="V94" s="10"/>
      <c r="W94" s="10"/>
      <c r="X94" s="10"/>
      <c r="Y94" s="10"/>
      <c r="Z94" s="10"/>
      <c r="AA94" s="10"/>
      <c r="AB94" s="10"/>
      <c r="AC94" s="10"/>
      <c r="AD94" s="10"/>
      <c r="AE94" s="10"/>
      <c r="AF94" s="10"/>
      <c r="AG94" s="10"/>
      <c r="AH94" s="10"/>
      <c r="AI94" s="10"/>
      <c r="AJ94" s="10"/>
      <c r="AK94" s="10"/>
      <c r="AL94" s="10"/>
      <c r="AM94" s="10"/>
      <c r="AN94" s="10"/>
      <c r="AO94" s="10"/>
      <c r="AP94" s="10"/>
      <c r="AQ94" s="10"/>
      <c r="AR94" s="10"/>
      <c r="AS94" s="10"/>
      <c r="AT94" s="10"/>
      <c r="AU94" s="10"/>
      <c r="AV94" s="10"/>
      <c r="AW94" s="10"/>
      <c r="AX94" s="10"/>
      <c r="AY94" s="10"/>
      <c r="AZ94" s="10"/>
      <c r="BA94" s="10"/>
      <c r="BB94" s="10"/>
      <c r="BC94" s="10"/>
      <c r="BD94" s="10"/>
      <c r="BE94" s="10"/>
      <c r="BF94" s="10"/>
      <c r="BG94" s="10"/>
      <c r="BH94" s="10"/>
      <c r="BI94" s="10"/>
      <c r="BJ94" s="10"/>
      <c r="BK94" s="10"/>
      <c r="BL94" s="10"/>
      <c r="BM94" s="10"/>
      <c r="BN94" s="10"/>
      <c r="BO94" s="10"/>
      <c r="BP94" s="10"/>
      <c r="BQ94" s="10"/>
      <c r="BR94" s="10"/>
      <c r="BS94" s="10"/>
      <c r="BT94" s="10"/>
      <c r="BU94" s="10"/>
      <c r="BV94" s="10"/>
      <c r="BW94" s="10"/>
      <c r="BX94" s="10"/>
      <c r="BY94" s="10"/>
      <c r="BZ94" s="10"/>
      <c r="CA94" s="10"/>
      <c r="CB94" s="10"/>
      <c r="CC94" s="10"/>
      <c r="CH94" s="99"/>
    </row>
    <row r="95" spans="1:86" s="20" customFormat="1" ht="17.399999999999999" x14ac:dyDescent="0.25">
      <c r="A95" s="101"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95" s="105"/>
      <c r="C95" s="78" t="s">
        <v>7</v>
      </c>
      <c r="D95" s="29"/>
      <c r="E95" s="28"/>
      <c r="F95" s="44"/>
      <c r="G95" s="45" t="str">
        <f t="shared" si="43"/>
        <v xml:space="preserve"> - </v>
      </c>
      <c r="H95" s="12"/>
      <c r="I95" s="13"/>
      <c r="J95" s="14" t="str">
        <f t="shared" ref="J95:J97" si="44">IF(OR(G95=0,F95=0)," - ",NETWORKDAYS(F95,G95))</f>
        <v xml:space="preserve"> - </v>
      </c>
      <c r="K95" s="40"/>
      <c r="L95" s="10"/>
      <c r="M95" s="10"/>
      <c r="N95" s="10"/>
      <c r="O95" s="10"/>
      <c r="P95" s="10"/>
      <c r="Q95" s="10"/>
      <c r="R95" s="10"/>
      <c r="S95" s="10"/>
      <c r="T95" s="10"/>
      <c r="U95" s="10"/>
      <c r="V95" s="10"/>
      <c r="W95" s="10"/>
      <c r="X95" s="10"/>
      <c r="Y95" s="10"/>
      <c r="Z95" s="10"/>
      <c r="AA95" s="10"/>
      <c r="AB95" s="10"/>
      <c r="AC95" s="10"/>
      <c r="AD95" s="10"/>
      <c r="AE95" s="10"/>
      <c r="AF95" s="10"/>
      <c r="AG95" s="10"/>
      <c r="AH95" s="10"/>
      <c r="AI95" s="10"/>
      <c r="AJ95" s="10"/>
      <c r="AK95" s="10"/>
      <c r="AL95" s="10"/>
      <c r="AM95" s="10"/>
      <c r="AN95" s="10"/>
      <c r="AO95" s="10"/>
      <c r="AP95" s="10"/>
      <c r="AQ95" s="10"/>
      <c r="AR95" s="10"/>
      <c r="AS95" s="10"/>
      <c r="AT95" s="10"/>
      <c r="AU95" s="10"/>
      <c r="AV95" s="10"/>
      <c r="AW95" s="10"/>
      <c r="AX95" s="10"/>
      <c r="AY95" s="10"/>
      <c r="AZ95" s="10"/>
      <c r="BA95" s="10"/>
      <c r="BB95" s="10"/>
      <c r="BC95" s="10"/>
      <c r="BD95" s="10"/>
      <c r="BE95" s="10"/>
      <c r="BF95" s="10"/>
      <c r="BG95" s="10"/>
      <c r="BH95" s="10"/>
      <c r="BI95" s="10"/>
      <c r="BJ95" s="10"/>
      <c r="BK95" s="10"/>
      <c r="BL95" s="10"/>
      <c r="BM95" s="10"/>
      <c r="BN95" s="10"/>
      <c r="BO95" s="10"/>
      <c r="BP95" s="10"/>
      <c r="BQ95" s="10"/>
      <c r="BR95" s="10"/>
      <c r="BS95" s="10"/>
      <c r="BT95" s="10"/>
      <c r="BU95" s="10"/>
      <c r="BV95" s="10"/>
      <c r="BW95" s="10"/>
      <c r="BX95" s="10"/>
      <c r="BY95" s="10"/>
      <c r="BZ95" s="10"/>
      <c r="CA95" s="10"/>
      <c r="CB95" s="10"/>
      <c r="CC95" s="10"/>
      <c r="CH95" s="99"/>
    </row>
    <row r="96" spans="1:86" s="20" customFormat="1" ht="17.399999999999999" x14ac:dyDescent="0.25">
      <c r="A96" s="102"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96" s="105"/>
      <c r="C96" s="83" t="s">
        <v>8</v>
      </c>
      <c r="D96" s="29"/>
      <c r="E96" s="28"/>
      <c r="F96" s="44"/>
      <c r="G96" s="45" t="str">
        <f t="shared" si="43"/>
        <v xml:space="preserve"> - </v>
      </c>
      <c r="H96" s="12"/>
      <c r="I96" s="13"/>
      <c r="J96" s="14" t="str">
        <f t="shared" si="44"/>
        <v xml:space="preserve"> - </v>
      </c>
      <c r="K96" s="40"/>
      <c r="L96" s="10"/>
      <c r="M96" s="10"/>
      <c r="N96" s="10"/>
      <c r="O96" s="10"/>
      <c r="P96" s="10"/>
      <c r="Q96" s="10"/>
      <c r="R96" s="10"/>
      <c r="S96" s="10"/>
      <c r="T96" s="10"/>
      <c r="U96" s="10"/>
      <c r="V96" s="10"/>
      <c r="W96" s="10"/>
      <c r="X96" s="10"/>
      <c r="Y96" s="10"/>
      <c r="Z96" s="10"/>
      <c r="AA96" s="10"/>
      <c r="AB96" s="10"/>
      <c r="AC96" s="10"/>
      <c r="AD96" s="10"/>
      <c r="AE96" s="10"/>
      <c r="AF96" s="10"/>
      <c r="AG96" s="10"/>
      <c r="AH96" s="10"/>
      <c r="AI96" s="10"/>
      <c r="AJ96" s="10"/>
      <c r="AK96" s="10"/>
      <c r="AL96" s="10"/>
      <c r="AM96" s="10"/>
      <c r="AN96" s="10"/>
      <c r="AO96" s="10"/>
      <c r="AP96" s="10"/>
      <c r="AQ96" s="10"/>
      <c r="AR96" s="10"/>
      <c r="AS96" s="10"/>
      <c r="AT96" s="10"/>
      <c r="AU96" s="10"/>
      <c r="AV96" s="10"/>
      <c r="AW96" s="10"/>
      <c r="AX96" s="10"/>
      <c r="AY96" s="10"/>
      <c r="AZ96" s="10"/>
      <c r="BA96" s="10"/>
      <c r="BB96" s="10"/>
      <c r="BC96" s="10"/>
      <c r="BD96" s="10"/>
      <c r="BE96" s="10"/>
      <c r="BF96" s="10"/>
      <c r="BG96" s="10"/>
      <c r="BH96" s="10"/>
      <c r="BI96" s="10"/>
      <c r="BJ96" s="10"/>
      <c r="BK96" s="10"/>
      <c r="BL96" s="10"/>
      <c r="BM96" s="10"/>
      <c r="BN96" s="10"/>
      <c r="BO96" s="10"/>
      <c r="BP96" s="10"/>
      <c r="BQ96" s="10"/>
      <c r="BR96" s="10"/>
      <c r="BS96" s="10"/>
      <c r="BT96" s="10"/>
      <c r="BU96" s="10"/>
      <c r="BV96" s="10"/>
      <c r="BW96" s="10"/>
      <c r="BX96" s="10"/>
      <c r="BY96" s="10"/>
      <c r="BZ96" s="10"/>
      <c r="CA96" s="10"/>
      <c r="CB96" s="10"/>
      <c r="CC96" s="10"/>
      <c r="CH96" s="99"/>
    </row>
    <row r="97" spans="1:86" s="20" customFormat="1" ht="17.399999999999999" x14ac:dyDescent="0.25">
      <c r="A97" s="103"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97" s="105"/>
      <c r="C97" s="83" t="s">
        <v>9</v>
      </c>
      <c r="D97" s="29"/>
      <c r="E97" s="28"/>
      <c r="F97" s="44"/>
      <c r="G97" s="45" t="str">
        <f t="shared" si="43"/>
        <v xml:space="preserve"> - </v>
      </c>
      <c r="H97" s="12"/>
      <c r="I97" s="13"/>
      <c r="J97" s="14" t="str">
        <f t="shared" si="44"/>
        <v xml:space="preserve"> - </v>
      </c>
      <c r="K97" s="40"/>
      <c r="L97" s="10"/>
      <c r="M97" s="10"/>
      <c r="N97" s="10"/>
      <c r="O97" s="10"/>
      <c r="P97" s="10"/>
      <c r="Q97" s="10"/>
      <c r="R97" s="10"/>
      <c r="S97" s="10"/>
      <c r="T97" s="10"/>
      <c r="U97" s="10"/>
      <c r="V97" s="10"/>
      <c r="W97" s="10"/>
      <c r="X97" s="10"/>
      <c r="Y97" s="10"/>
      <c r="Z97" s="10"/>
      <c r="AA97" s="10"/>
      <c r="AB97" s="10"/>
      <c r="AC97" s="10"/>
      <c r="AD97" s="10"/>
      <c r="AE97" s="10"/>
      <c r="AF97" s="10"/>
      <c r="AG97" s="10"/>
      <c r="AH97" s="10"/>
      <c r="AI97" s="10"/>
      <c r="AJ97" s="10"/>
      <c r="AK97" s="10"/>
      <c r="AL97" s="10"/>
      <c r="AM97" s="10"/>
      <c r="AN97" s="10"/>
      <c r="AO97" s="10"/>
      <c r="AP97" s="10"/>
      <c r="AQ97" s="10"/>
      <c r="AR97" s="10"/>
      <c r="AS97" s="10"/>
      <c r="AT97" s="10"/>
      <c r="AU97" s="10"/>
      <c r="AV97" s="10"/>
      <c r="AW97" s="10"/>
      <c r="AX97" s="10"/>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c r="CA97" s="10"/>
      <c r="CB97" s="10"/>
      <c r="CC97" s="10"/>
      <c r="CH97" s="99"/>
    </row>
    <row r="98" spans="1:86" x14ac:dyDescent="0.25">
      <c r="C98" s="84"/>
    </row>
    <row r="99" spans="1:86" x14ac:dyDescent="0.25">
      <c r="C99" s="84"/>
    </row>
    <row r="100" spans="1:86" x14ac:dyDescent="0.25">
      <c r="C100" s="84"/>
    </row>
    <row r="101" spans="1:86" x14ac:dyDescent="0.25">
      <c r="C101" s="84"/>
    </row>
    <row r="102" spans="1:86" x14ac:dyDescent="0.25">
      <c r="C102" s="84"/>
    </row>
    <row r="103" spans="1:86" x14ac:dyDescent="0.25">
      <c r="C103" s="84"/>
    </row>
    <row r="104" spans="1:86" x14ac:dyDescent="0.25">
      <c r="C104" s="84"/>
    </row>
    <row r="105" spans="1:86" x14ac:dyDescent="0.25">
      <c r="C105" s="84"/>
    </row>
    <row r="108" spans="1:86" x14ac:dyDescent="0.25">
      <c r="C108" s="84"/>
    </row>
    <row r="109" spans="1:86" x14ac:dyDescent="0.25">
      <c r="C109" s="84"/>
    </row>
    <row r="110" spans="1:86" x14ac:dyDescent="0.25">
      <c r="C110" s="84"/>
    </row>
    <row r="111" spans="1:86" x14ac:dyDescent="0.25">
      <c r="C111" s="84"/>
    </row>
    <row r="112" spans="1:86" x14ac:dyDescent="0.25">
      <c r="C112" s="84"/>
    </row>
    <row r="113" spans="3:3" x14ac:dyDescent="0.25">
      <c r="C113" s="84"/>
    </row>
    <row r="114" spans="3:3" x14ac:dyDescent="0.25">
      <c r="C114" s="84"/>
    </row>
    <row r="115" spans="3:3" x14ac:dyDescent="0.25">
      <c r="C115" s="84"/>
    </row>
    <row r="116" spans="3:3" x14ac:dyDescent="0.25">
      <c r="C116" s="84"/>
    </row>
    <row r="117" spans="3:3" x14ac:dyDescent="0.25">
      <c r="C117" s="84"/>
    </row>
    <row r="118" spans="3:3" x14ac:dyDescent="0.25">
      <c r="C118" s="84"/>
    </row>
    <row r="119" spans="3:3" x14ac:dyDescent="0.25">
      <c r="C119" s="84"/>
    </row>
    <row r="120" spans="3:3" x14ac:dyDescent="0.25">
      <c r="C120" s="84"/>
    </row>
    <row r="121" spans="3:3" x14ac:dyDescent="0.25">
      <c r="C121" s="84"/>
    </row>
    <row r="122" spans="3:3" x14ac:dyDescent="0.25">
      <c r="C122" s="84"/>
    </row>
    <row r="123" spans="3:3" x14ac:dyDescent="0.25">
      <c r="C123" s="84"/>
    </row>
    <row r="124" spans="3:3" x14ac:dyDescent="0.25">
      <c r="C124" s="84"/>
    </row>
    <row r="125" spans="3:3" x14ac:dyDescent="0.25">
      <c r="C125" s="84"/>
    </row>
    <row r="126" spans="3:3" x14ac:dyDescent="0.25">
      <c r="C126" s="84"/>
    </row>
    <row r="127" spans="3:3" x14ac:dyDescent="0.25">
      <c r="C127" s="84"/>
    </row>
    <row r="128" spans="3:3" x14ac:dyDescent="0.25">
      <c r="C128" s="84"/>
    </row>
    <row r="129" spans="3:3" x14ac:dyDescent="0.25">
      <c r="C129" s="84"/>
    </row>
    <row r="130" spans="3:3" x14ac:dyDescent="0.25">
      <c r="C130" s="84"/>
    </row>
    <row r="131" spans="3:3" x14ac:dyDescent="0.25">
      <c r="C131" s="84"/>
    </row>
    <row r="132" spans="3:3" x14ac:dyDescent="0.25">
      <c r="C132" s="84"/>
    </row>
    <row r="133" spans="3:3" x14ac:dyDescent="0.25">
      <c r="C133" s="84"/>
    </row>
  </sheetData>
  <sheetProtection formatCells="0" formatColumns="0" formatRows="0" insertRows="0" deleteRows="0"/>
  <autoFilter ref="A5:CH55" xr:uid="{00000000-0001-0000-0000-000000000000}"/>
  <mergeCells count="23">
    <mergeCell ref="BP2:BV2"/>
    <mergeCell ref="BW2:CC2"/>
    <mergeCell ref="BP3:BV3"/>
    <mergeCell ref="BW3:CC3"/>
    <mergeCell ref="Z2:AF2"/>
    <mergeCell ref="Z3:AF3"/>
    <mergeCell ref="AG2:AM2"/>
    <mergeCell ref="AG3:AM3"/>
    <mergeCell ref="BI2:BO2"/>
    <mergeCell ref="BI3:BO3"/>
    <mergeCell ref="AN3:AT3"/>
    <mergeCell ref="AU2:BA2"/>
    <mergeCell ref="AU3:BA3"/>
    <mergeCell ref="AN2:AT2"/>
    <mergeCell ref="BB2:BH2"/>
    <mergeCell ref="BB3:BH3"/>
    <mergeCell ref="L1:AF1"/>
    <mergeCell ref="D3:F3"/>
    <mergeCell ref="S2:Y2"/>
    <mergeCell ref="L2:R2"/>
    <mergeCell ref="D2:F2"/>
    <mergeCell ref="S3:Y3"/>
    <mergeCell ref="L3:R3"/>
  </mergeCells>
  <phoneticPr fontId="3" type="noConversion"/>
  <conditionalFormatting sqref="I6:I97">
    <cfRule type="dataBar" priority="15">
      <dataBar>
        <cfvo type="num" val="0"/>
        <cfvo type="num" val="1"/>
        <color theme="0" tint="-0.34998626667073579"/>
      </dataBar>
      <extLst>
        <ext xmlns:x14="http://schemas.microsoft.com/office/spreadsheetml/2009/9/main" uri="{B025F937-C7B1-47D3-B67F-A62EFF666E3E}">
          <x14:id>{0A58A75E-4698-465A-8593-F06B91A3A900}</x14:id>
        </ext>
      </extLst>
    </cfRule>
  </conditionalFormatting>
  <conditionalFormatting sqref="L4:BO5">
    <cfRule type="expression" dxfId="5" priority="58">
      <formula>L$4=TODAY()</formula>
    </cfRule>
  </conditionalFormatting>
  <conditionalFormatting sqref="L59:CC97 C55 L6:CC56">
    <cfRule type="expression" dxfId="4" priority="61">
      <formula>AND($F6&lt;=C$4,ROUNDDOWN(($G6-$F6+1)*$I6,0)+$F6-1&gt;=C$4)</formula>
    </cfRule>
    <cfRule type="expression" dxfId="3" priority="62">
      <formula>AND(NOT(ISBLANK($F6)),$F6&lt;=C$4,$G6&gt;=C$4)</formula>
    </cfRule>
  </conditionalFormatting>
  <conditionalFormatting sqref="L4:CC97">
    <cfRule type="expression" dxfId="2" priority="21">
      <formula>L$4=TODAY()</formula>
    </cfRule>
  </conditionalFormatting>
  <conditionalFormatting sqref="BP4:CC5">
    <cfRule type="expression" dxfId="1" priority="11">
      <formula>BP$4=TODAY()</formula>
    </cfRule>
  </conditionalFormatting>
  <conditionalFormatting sqref="C55">
    <cfRule type="expression" dxfId="0" priority="1">
      <formula>C$4=TODAY()</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I2" xr:uid="{00000000-0002-0000-0000-000000000000}"/>
  </dataValidations>
  <hyperlinks>
    <hyperlink ref="C29" r:id="rId1" xr:uid="{317BD2F3-F1D4-49AB-9881-8BF3D0D8FBD6}"/>
    <hyperlink ref="C31" r:id="rId2" xr:uid="{E52F2892-EECF-46F9-96DE-C6D64290B8E5}"/>
    <hyperlink ref="C33" r:id="rId3" xr:uid="{EC4CC763-F229-458E-A787-AA5C0D6138BD}"/>
    <hyperlink ref="C35" r:id="rId4" xr:uid="{CE34F567-52F1-4E89-BEAC-3388CE5C6DC8}"/>
    <hyperlink ref="C38" r:id="rId5" xr:uid="{21419D65-B564-41ED-B65B-8E7038DE6498}"/>
    <hyperlink ref="L1:AF1" r:id="rId6" display="Gantt Chart Template © 2006-2018 by Vertex42.com." xr:uid="{00000000-0004-0000-0000-000000000000}"/>
    <hyperlink ref="C39" r:id="rId7" xr:uid="{B1B6091C-7F02-4CC8-8601-6BF7EE572266}"/>
    <hyperlink ref="C36" r:id="rId8" xr:uid="{1DE3C7A4-C4A6-473C-BFA8-D927CDC20225}"/>
    <hyperlink ref="C13" r:id="rId9" xr:uid="{B13D99E3-C03E-412D-88EC-A97B85702BB4}"/>
    <hyperlink ref="C40" r:id="rId10" xr:uid="{43DCBCF8-EE2D-45D1-AD58-8B1AA2360AAB}"/>
    <hyperlink ref="C41" r:id="rId11" xr:uid="{D833DFC4-C124-4C1C-B2BC-774192D4A76C}"/>
  </hyperlinks>
  <pageMargins left="0.25" right="0.25" top="0.5" bottom="0.5" header="0.5" footer="0.25"/>
  <pageSetup scale="63" fitToHeight="0" orientation="landscape" r:id="rId12"/>
  <headerFooter alignWithMargins="0"/>
  <ignoredErrors>
    <ignoredError sqref="I7 C91 C93 C92 F23 F91:I93 H23:I23 H94 H95:H96 H97 A93 A91" unlockedFormula="1"/>
    <ignoredError sqref="A23" formula="1"/>
  </ignoredErrors>
  <drawing r:id="rId13"/>
  <legacyDrawing r:id="rId14"/>
  <extLst>
    <ext xmlns:x14="http://schemas.microsoft.com/office/spreadsheetml/2009/9/main" uri="{78C0D931-6437-407d-A8EE-F0AAD7539E65}">
      <x14:conditionalFormattings>
        <x14:conditionalFormatting xmlns:xm="http://schemas.microsoft.com/office/excel/2006/main">
          <x14:cfRule type="dataBar" id="{0A58A75E-4698-465A-8593-F06B91A3A900}">
            <x14:dataBar minLength="0" maxLength="100" gradient="0">
              <x14:cfvo type="num">
                <xm:f>0</xm:f>
              </x14:cfvo>
              <x14:cfvo type="num">
                <xm:f>1</xm:f>
              </x14:cfvo>
              <x14:negativeFillColor rgb="FFFF0000"/>
              <x14:axisColor rgb="FF000000"/>
            </x14:dataBar>
          </x14:cfRule>
          <xm:sqref>I6:I97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GanttChart</vt:lpstr>
      <vt:lpstr>GanttChart!prevWBS</vt:lpstr>
      <vt:lpstr>GanttChart!Print_Area</vt:lpstr>
      <vt:lpstr>GanttChart!Print_Titles</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Siva Naga Babu</cp:lastModifiedBy>
  <cp:lastPrinted>2018-02-12T20:25:38Z</cp:lastPrinted>
  <dcterms:created xsi:type="dcterms:W3CDTF">2010-06-09T16:05:03Z</dcterms:created>
  <dcterms:modified xsi:type="dcterms:W3CDTF">2024-03-25T03:22:34Z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